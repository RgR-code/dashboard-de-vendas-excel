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de Vendas" sheetId="1" state="visible" r:id="rId1"/>
    <sheet xmlns:r="http://schemas.openxmlformats.org/officeDocument/2006/relationships" name="Base de Dados" sheetId="2" state="visible" r:id="rId2"/>
    <sheet xmlns:r="http://schemas.openxmlformats.org/officeDocument/2006/relationships" name="Parâ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R$ #,##0.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8"/>
    </font>
    <font>
      <name val="Calibri"/>
      <i val="1"/>
      <color rgb="00D9E1F2"/>
      <sz val="10"/>
    </font>
    <font>
      <name val="Calibri"/>
      <b val="1"/>
      <color rgb="001B365D"/>
      <sz val="12"/>
    </font>
    <font>
      <name val="Calibri"/>
      <b val="1"/>
      <color rgb="00595959"/>
      <sz val="9"/>
    </font>
    <font>
      <name val="Calibri"/>
      <b val="1"/>
      <color rgb="001B365D"/>
      <sz val="16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AFAFA"/>
        <bgColor rgb="00FAFA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2" applyAlignment="1" pivotButton="0" quotePrefix="0" xfId="0">
      <alignment horizontal="center" vertical="center"/>
    </xf>
    <xf numFmtId="0" fontId="0" fillId="0" borderId="2" pivotButton="0" quotePrefix="0" xfId="0"/>
    <xf numFmtId="166" fontId="8" fillId="3" borderId="2" applyAlignment="1" pivotButton="0" quotePrefix="0" xfId="0">
      <alignment horizontal="center" vertical="center"/>
    </xf>
    <xf numFmtId="10" fontId="8" fillId="3" borderId="2" applyAlignment="1" pivotButton="0" quotePrefix="0" xfId="0">
      <alignment horizontal="center" vertical="center"/>
    </xf>
    <xf numFmtId="3" fontId="8" fillId="3" borderId="2" applyAlignment="1" pivotButton="0" quotePrefix="0" xfId="0">
      <alignment horizontal="center" vertical="center"/>
    </xf>
    <xf numFmtId="0" fontId="1" fillId="2" borderId="0" pivotButton="0" quotePrefix="0" xfId="0"/>
    <xf numFmtId="0" fontId="2" fillId="0" borderId="1" pivotButton="0" quotePrefix="0" xfId="0"/>
    <xf numFmtId="0" fontId="0" fillId="0" borderId="1" pivotButton="0" quotePrefix="0" xfId="0"/>
    <xf numFmtId="166" fontId="3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165" fontId="2" fillId="0" borderId="1" pivotButton="0" quotePrefix="0" xfId="0"/>
    <xf numFmtId="3" fontId="2" fillId="0" borderId="1" pivotButton="0" quotePrefix="0" xfId="0"/>
    <xf numFmtId="166" fontId="2" fillId="0" borderId="1" pivotButton="0" quotePrefix="0" xfId="0"/>
    <xf numFmtId="0" fontId="3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Faturamento Total por Vendedor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'Parâmetros'!B2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'Parâmetros'!$A$3:$A$7</f>
            </numRef>
          </cat>
          <val>
            <numRef>
              <f>'Parâmetros'!$B$3:$B$7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Vendedor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de Faturamento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'Parâmetros'!E2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'Parâmetros'!$D$3:$D$5</f>
            </numRef>
          </cat>
          <val>
            <numRef>
              <f>'Parâmetros'!$E$3:$E$5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Desempenho de Vendas por Região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'Parâmetros'!H2</f>
            </strRef>
          </tx>
          <spPr>
            <a:ln xmlns:a="http://schemas.openxmlformats.org/drawingml/2006/main">
              <a:prstDash val="solid"/>
            </a:ln>
          </spPr>
          <cat>
            <numRef>
              <f>'Parâmetros'!$G$3:$G$7</f>
            </numRef>
          </cat>
          <val>
            <numRef>
              <f>'Parâmetros'!$H$3:$H$7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Região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40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9</row>
      <rowOff>0</rowOff>
    </from>
    <ext cx="504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540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DASHBOARD EXECUTIVO DE DESEMPENHO DE VENDAS</t>
        </is>
      </c>
    </row>
    <row r="2"/>
    <row r="3">
      <c r="A3" s="2" t="inlineStr">
        <is>
          <t>Visão Consolidada de Faturamento, Margem de Lucro, Performance por Equipe e Produtos</t>
        </is>
      </c>
    </row>
    <row r="5">
      <c r="A5" s="3" t="inlineStr">
        <is>
          <t>INDICADORES-CHAVE DE DESEMPENHO (KPIs)</t>
        </is>
      </c>
    </row>
    <row r="6">
      <c r="A6" s="4" t="inlineStr">
        <is>
          <t>FATURAMENTO TOTAL</t>
        </is>
      </c>
      <c r="B6" s="5" t="n"/>
      <c r="C6" s="5" t="n"/>
      <c r="D6" s="4" t="inlineStr">
        <is>
          <t>LUCRO TOTAL ACUMULADO</t>
        </is>
      </c>
      <c r="E6" s="5" t="n"/>
      <c r="F6" s="5" t="n"/>
      <c r="G6" s="4" t="inlineStr">
        <is>
          <t>MARGEM DE LUCRO MÉDIA</t>
        </is>
      </c>
      <c r="H6" s="5" t="n"/>
      <c r="I6" s="5" t="n"/>
      <c r="J6" s="4" t="inlineStr">
        <is>
          <t>TOTAL DE PEDIDOS / VENDAS</t>
        </is>
      </c>
      <c r="K6" s="5" t="n"/>
      <c r="L6" s="5" t="n"/>
    </row>
    <row r="7">
      <c r="A7" s="6">
        <f>SUM('Base de Dados'!J2:J151)</f>
        <v/>
      </c>
      <c r="B7" s="5" t="n"/>
      <c r="C7" s="5" t="n"/>
      <c r="D7" s="6">
        <f>SUM('Base de Dados'!L2:L151)</f>
        <v/>
      </c>
      <c r="E7" s="5" t="n"/>
      <c r="F7" s="5" t="n"/>
      <c r="G7" s="7">
        <f>D7/A7</f>
        <v/>
      </c>
      <c r="H7" s="5" t="n"/>
      <c r="I7" s="5" t="n"/>
      <c r="J7" s="8">
        <f>COUNTA('Base de Dados'!A2:A151)</f>
        <v/>
      </c>
      <c r="K7" s="5" t="n"/>
      <c r="L7" s="5" t="n"/>
    </row>
    <row r="26">
      <c r="G26" s="3" t="inlineStr">
        <is>
          <t>RANKING DE VENDEDORES (TOP PERFORMANCE)</t>
        </is>
      </c>
    </row>
    <row r="27">
      <c r="G27" s="9" t="inlineStr">
        <is>
          <t>Vendedor</t>
        </is>
      </c>
      <c r="J27" s="9" t="inlineStr">
        <is>
          <t>Faturamento Total (R$)</t>
        </is>
      </c>
    </row>
    <row r="28">
      <c r="G28" s="10" t="inlineStr">
        <is>
          <t>Ana Silva</t>
        </is>
      </c>
      <c r="H28" s="11" t="n"/>
      <c r="I28" s="11" t="n"/>
      <c r="J28" s="12">
        <f>SUMIF('Base de Dados'!E:E, G28, 'Base de Dados'!J:J)</f>
        <v/>
      </c>
      <c r="K28" s="11" t="n"/>
      <c r="L28" s="11" t="n"/>
    </row>
    <row r="29">
      <c r="G29" s="10" t="inlineStr">
        <is>
          <t>Carlos Souza</t>
        </is>
      </c>
      <c r="H29" s="11" t="n"/>
      <c r="I29" s="11" t="n"/>
      <c r="J29" s="12">
        <f>SUMIF('Base de Dados'!E:E, G29, 'Base de Dados'!J:J)</f>
        <v/>
      </c>
      <c r="K29" s="11" t="n"/>
      <c r="L29" s="11" t="n"/>
    </row>
    <row r="30">
      <c r="G30" s="10" t="inlineStr">
        <is>
          <t>Mariana Oliveira</t>
        </is>
      </c>
      <c r="H30" s="11" t="n"/>
      <c r="I30" s="11" t="n"/>
      <c r="J30" s="12">
        <f>SUMIF('Base de Dados'!E:E, G30, 'Base de Dados'!J:J)</f>
        <v/>
      </c>
      <c r="K30" s="11" t="n"/>
      <c r="L30" s="11" t="n"/>
    </row>
    <row r="31">
      <c r="G31" s="10" t="inlineStr">
        <is>
          <t>Lucas Ferreira</t>
        </is>
      </c>
      <c r="H31" s="11" t="n"/>
      <c r="I31" s="11" t="n"/>
      <c r="J31" s="12">
        <f>SUMIF('Base de Dados'!E:E, G31, 'Base de Dados'!J:J)</f>
        <v/>
      </c>
      <c r="K31" s="11" t="n"/>
      <c r="L31" s="11" t="n"/>
    </row>
    <row r="32">
      <c r="G32" s="10" t="inlineStr">
        <is>
          <t>Beatriz Costa</t>
        </is>
      </c>
      <c r="H32" s="11" t="n"/>
      <c r="I32" s="11" t="n"/>
      <c r="J32" s="12">
        <f>SUMIF('Base de Dados'!E:E, G32, 'Base de Dados'!J:J)</f>
        <v/>
      </c>
      <c r="K32" s="11" t="n"/>
      <c r="L32" s="11" t="n"/>
    </row>
  </sheetData>
  <mergeCells count="24">
    <mergeCell ref="J6:L6"/>
    <mergeCell ref="G28:I28"/>
    <mergeCell ref="G6:I6"/>
    <mergeCell ref="J27:L27"/>
    <mergeCell ref="D7:F7"/>
    <mergeCell ref="A3:L3"/>
    <mergeCell ref="G30:I30"/>
    <mergeCell ref="J7:L7"/>
    <mergeCell ref="J32:L32"/>
    <mergeCell ref="A5:L5"/>
    <mergeCell ref="A1:L2"/>
    <mergeCell ref="J31:L31"/>
    <mergeCell ref="G26:L26"/>
    <mergeCell ref="G29:I29"/>
    <mergeCell ref="G32:I32"/>
    <mergeCell ref="G31:I31"/>
    <mergeCell ref="J29:L29"/>
    <mergeCell ref="G27:I27"/>
    <mergeCell ref="J28:L28"/>
    <mergeCell ref="A6:C6"/>
    <mergeCell ref="D6:F6"/>
    <mergeCell ref="A7:C7"/>
    <mergeCell ref="G7:I7"/>
    <mergeCell ref="J30:L3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5" customWidth="1" min="4" max="4"/>
    <col width="19" customWidth="1" min="5" max="5"/>
    <col width="14" customWidth="1" min="6" max="6"/>
    <col width="21" customWidth="1" min="7" max="7"/>
    <col width="12" customWidth="1" min="8" max="8"/>
    <col width="19" customWidth="1" min="9" max="9"/>
    <col width="19" customWidth="1" min="10" max="10"/>
    <col width="19" customWidth="1" min="11" max="11"/>
    <col width="13" customWidth="1" min="12" max="12"/>
  </cols>
  <sheetData>
    <row r="1" ht="25" customHeight="1">
      <c r="A1" s="13" t="inlineStr">
        <is>
          <t>ID Pedido</t>
        </is>
      </c>
      <c r="B1" s="13" t="inlineStr">
        <is>
          <t>Data</t>
        </is>
      </c>
      <c r="C1" s="13" t="inlineStr">
        <is>
          <t>Mês/Ano</t>
        </is>
      </c>
      <c r="D1" s="13" t="inlineStr">
        <is>
          <t>Região</t>
        </is>
      </c>
      <c r="E1" s="13" t="inlineStr">
        <is>
          <t>Vendedor</t>
        </is>
      </c>
      <c r="F1" s="13" t="inlineStr">
        <is>
          <t>Categoria</t>
        </is>
      </c>
      <c r="G1" s="13" t="inlineStr">
        <is>
          <t>Produto</t>
        </is>
      </c>
      <c r="H1" s="13" t="inlineStr">
        <is>
          <t>Qtd</t>
        </is>
      </c>
      <c r="I1" s="13" t="inlineStr">
        <is>
          <t>Preço Unit. (R$)</t>
        </is>
      </c>
      <c r="J1" s="13" t="inlineStr">
        <is>
          <t>Faturamento (R$)</t>
        </is>
      </c>
      <c r="K1" s="13" t="inlineStr">
        <is>
          <t>Custo Total (R$)</t>
        </is>
      </c>
      <c r="L1" s="13" t="inlineStr">
        <is>
          <t>Lucro (R$)</t>
        </is>
      </c>
    </row>
    <row r="2">
      <c r="A2" s="14" t="inlineStr">
        <is>
          <t>PED-1001</t>
        </is>
      </c>
      <c r="B2" s="15" t="n">
        <v>46186</v>
      </c>
      <c r="C2" s="14" t="inlineStr">
        <is>
          <t>2026-06</t>
        </is>
      </c>
      <c r="D2" s="10" t="inlineStr">
        <is>
          <t>Sudeste</t>
        </is>
      </c>
      <c r="E2" s="10" t="inlineStr">
        <is>
          <t>Ana Silva</t>
        </is>
      </c>
      <c r="F2" s="10" t="inlineStr">
        <is>
          <t>Acessórios</t>
        </is>
      </c>
      <c r="G2" s="10" t="inlineStr">
        <is>
          <t>Webcam Full HD</t>
        </is>
      </c>
      <c r="H2" s="16" t="n">
        <v>4</v>
      </c>
      <c r="I2" s="17" t="n">
        <v>380</v>
      </c>
      <c r="J2" s="17">
        <f>H2*I2</f>
        <v/>
      </c>
      <c r="K2" s="17">
        <f>H2*220</f>
        <v/>
      </c>
      <c r="L2" s="17">
        <f>J2-K2</f>
        <v/>
      </c>
    </row>
    <row r="3">
      <c r="A3" s="14" t="inlineStr">
        <is>
          <t>PED-1002</t>
        </is>
      </c>
      <c r="B3" s="15" t="n">
        <v>46080</v>
      </c>
      <c r="C3" s="14" t="inlineStr">
        <is>
          <t>2026-02</t>
        </is>
      </c>
      <c r="D3" s="10" t="inlineStr">
        <is>
          <t>Sul</t>
        </is>
      </c>
      <c r="E3" s="10" t="inlineStr">
        <is>
          <t>Ana Silva</t>
        </is>
      </c>
      <c r="F3" s="10" t="inlineStr">
        <is>
          <t>Acessórios</t>
        </is>
      </c>
      <c r="G3" s="10" t="inlineStr">
        <is>
          <t>Teclado Mecânico</t>
        </is>
      </c>
      <c r="H3" s="16" t="n">
        <v>10</v>
      </c>
      <c r="I3" s="17" t="n">
        <v>350</v>
      </c>
      <c r="J3" s="17">
        <f>H3*I3</f>
        <v/>
      </c>
      <c r="K3" s="17">
        <f>H3*200</f>
        <v/>
      </c>
      <c r="L3" s="17">
        <f>J3-K3</f>
        <v/>
      </c>
    </row>
    <row r="4">
      <c r="A4" s="14" t="inlineStr">
        <is>
          <t>PED-1003</t>
        </is>
      </c>
      <c r="B4" s="15" t="n">
        <v>46131</v>
      </c>
      <c r="C4" s="14" t="inlineStr">
        <is>
          <t>2026-04</t>
        </is>
      </c>
      <c r="D4" s="10" t="inlineStr">
        <is>
          <t>Sudeste</t>
        </is>
      </c>
      <c r="E4" s="10" t="inlineStr">
        <is>
          <t>Ana Silva</t>
        </is>
      </c>
      <c r="F4" s="10" t="inlineStr">
        <is>
          <t>Eletrônicos</t>
        </is>
      </c>
      <c r="G4" s="10" t="inlineStr">
        <is>
          <t>Smartphone 5G</t>
        </is>
      </c>
      <c r="H4" s="16" t="n">
        <v>4</v>
      </c>
      <c r="I4" s="17" t="n">
        <v>2800</v>
      </c>
      <c r="J4" s="17">
        <f>H4*I4</f>
        <v/>
      </c>
      <c r="K4" s="17">
        <f>H4*1900</f>
        <v/>
      </c>
      <c r="L4" s="17">
        <f>J4-K4</f>
        <v/>
      </c>
    </row>
    <row r="5">
      <c r="A5" s="14" t="inlineStr">
        <is>
          <t>PED-1004</t>
        </is>
      </c>
      <c r="B5" s="15" t="n">
        <v>46152</v>
      </c>
      <c r="C5" s="14" t="inlineStr">
        <is>
          <t>2026-05</t>
        </is>
      </c>
      <c r="D5" s="10" t="inlineStr">
        <is>
          <t>Norte</t>
        </is>
      </c>
      <c r="E5" s="10" t="inlineStr">
        <is>
          <t>Ana Silva</t>
        </is>
      </c>
      <c r="F5" s="10" t="inlineStr">
        <is>
          <t>Acessórios</t>
        </is>
      </c>
      <c r="G5" s="10" t="inlineStr">
        <is>
          <t>Mouse Vertical</t>
        </is>
      </c>
      <c r="H5" s="16" t="n">
        <v>9</v>
      </c>
      <c r="I5" s="17" t="n">
        <v>220</v>
      </c>
      <c r="J5" s="17">
        <f>H5*I5</f>
        <v/>
      </c>
      <c r="K5" s="17">
        <f>H5*120</f>
        <v/>
      </c>
      <c r="L5" s="17">
        <f>J5-K5</f>
        <v/>
      </c>
    </row>
    <row r="6">
      <c r="A6" s="14" t="inlineStr">
        <is>
          <t>PED-1005</t>
        </is>
      </c>
      <c r="B6" s="15" t="n">
        <v>46130</v>
      </c>
      <c r="C6" s="14" t="inlineStr">
        <is>
          <t>2026-04</t>
        </is>
      </c>
      <c r="D6" s="10" t="inlineStr">
        <is>
          <t>Sul</t>
        </is>
      </c>
      <c r="E6" s="10" t="inlineStr">
        <is>
          <t>Lucas Ferreira</t>
        </is>
      </c>
      <c r="F6" s="10" t="inlineStr">
        <is>
          <t>Acessórios</t>
        </is>
      </c>
      <c r="G6" s="10" t="inlineStr">
        <is>
          <t>Webcam Full HD</t>
        </is>
      </c>
      <c r="H6" s="16" t="n">
        <v>1</v>
      </c>
      <c r="I6" s="17" t="n">
        <v>380</v>
      </c>
      <c r="J6" s="17">
        <f>H6*I6</f>
        <v/>
      </c>
      <c r="K6" s="17">
        <f>H6*220</f>
        <v/>
      </c>
      <c r="L6" s="17">
        <f>J6-K6</f>
        <v/>
      </c>
    </row>
    <row r="7">
      <c r="A7" s="14" t="inlineStr">
        <is>
          <t>PED-1006</t>
        </is>
      </c>
      <c r="B7" s="15" t="n">
        <v>46217</v>
      </c>
      <c r="C7" s="14" t="inlineStr">
        <is>
          <t>2026-07</t>
        </is>
      </c>
      <c r="D7" s="10" t="inlineStr">
        <is>
          <t>Sul</t>
        </is>
      </c>
      <c r="E7" s="10" t="inlineStr">
        <is>
          <t>Lucas Ferreira</t>
        </is>
      </c>
      <c r="F7" s="10" t="inlineStr">
        <is>
          <t>Móveis</t>
        </is>
      </c>
      <c r="G7" s="10" t="inlineStr">
        <is>
          <t>Mesa Escritório L</t>
        </is>
      </c>
      <c r="H7" s="16" t="n">
        <v>3</v>
      </c>
      <c r="I7" s="17" t="n">
        <v>950</v>
      </c>
      <c r="J7" s="17">
        <f>H7*I7</f>
        <v/>
      </c>
      <c r="K7" s="17">
        <f>H7*600</f>
        <v/>
      </c>
      <c r="L7" s="17">
        <f>J7-K7</f>
        <v/>
      </c>
    </row>
    <row r="8">
      <c r="A8" s="14" t="inlineStr">
        <is>
          <t>PED-1007</t>
        </is>
      </c>
      <c r="B8" s="15" t="n">
        <v>46078</v>
      </c>
      <c r="C8" s="14" t="inlineStr">
        <is>
          <t>2026-02</t>
        </is>
      </c>
      <c r="D8" s="10" t="inlineStr">
        <is>
          <t>Nordeste</t>
        </is>
      </c>
      <c r="E8" s="10" t="inlineStr">
        <is>
          <t>Ana Silva</t>
        </is>
      </c>
      <c r="F8" s="10" t="inlineStr">
        <is>
          <t>Eletrônicos</t>
        </is>
      </c>
      <c r="G8" s="10" t="inlineStr">
        <is>
          <t>Headset Sem Fio</t>
        </is>
      </c>
      <c r="H8" s="16" t="n">
        <v>2</v>
      </c>
      <c r="I8" s="17" t="n">
        <v>450</v>
      </c>
      <c r="J8" s="17">
        <f>H8*I8</f>
        <v/>
      </c>
      <c r="K8" s="17">
        <f>H8*250</f>
        <v/>
      </c>
      <c r="L8" s="17">
        <f>J8-K8</f>
        <v/>
      </c>
    </row>
    <row r="9">
      <c r="A9" s="14" t="inlineStr">
        <is>
          <t>PED-1008</t>
        </is>
      </c>
      <c r="B9" s="15" t="n">
        <v>46114</v>
      </c>
      <c r="C9" s="14" t="inlineStr">
        <is>
          <t>2026-04</t>
        </is>
      </c>
      <c r="D9" s="10" t="inlineStr">
        <is>
          <t>Nordeste</t>
        </is>
      </c>
      <c r="E9" s="10" t="inlineStr">
        <is>
          <t>Beatriz Costa</t>
        </is>
      </c>
      <c r="F9" s="10" t="inlineStr">
        <is>
          <t>Móveis</t>
        </is>
      </c>
      <c r="G9" s="10" t="inlineStr">
        <is>
          <t>Cadeira Ergonômica</t>
        </is>
      </c>
      <c r="H9" s="16" t="n">
        <v>8</v>
      </c>
      <c r="I9" s="17" t="n">
        <v>1200</v>
      </c>
      <c r="J9" s="17">
        <f>H9*I9</f>
        <v/>
      </c>
      <c r="K9" s="17">
        <f>H9*750</f>
        <v/>
      </c>
      <c r="L9" s="17">
        <f>J9-K9</f>
        <v/>
      </c>
    </row>
    <row r="10">
      <c r="A10" s="14" t="inlineStr">
        <is>
          <t>PED-1009</t>
        </is>
      </c>
      <c r="B10" s="15" t="n">
        <v>46160</v>
      </c>
      <c r="C10" s="14" t="inlineStr">
        <is>
          <t>2026-05</t>
        </is>
      </c>
      <c r="D10" s="10" t="inlineStr">
        <is>
          <t>Sudeste</t>
        </is>
      </c>
      <c r="E10" s="10" t="inlineStr">
        <is>
          <t>Lucas Ferreira</t>
        </is>
      </c>
      <c r="F10" s="10" t="inlineStr">
        <is>
          <t>Eletrônicos</t>
        </is>
      </c>
      <c r="G10" s="10" t="inlineStr">
        <is>
          <t>Monitor 27' 144Hz</t>
        </is>
      </c>
      <c r="H10" s="16" t="n">
        <v>10</v>
      </c>
      <c r="I10" s="17" t="n">
        <v>1600</v>
      </c>
      <c r="J10" s="17">
        <f>H10*I10</f>
        <v/>
      </c>
      <c r="K10" s="17">
        <f>H10*1100</f>
        <v/>
      </c>
      <c r="L10" s="17">
        <f>J10-K10</f>
        <v/>
      </c>
    </row>
    <row r="11">
      <c r="A11" s="14" t="inlineStr">
        <is>
          <t>PED-1010</t>
        </is>
      </c>
      <c r="B11" s="15" t="n">
        <v>46249</v>
      </c>
      <c r="C11" s="14" t="inlineStr">
        <is>
          <t>2026-08</t>
        </is>
      </c>
      <c r="D11" s="10" t="inlineStr">
        <is>
          <t>Nordeste</t>
        </is>
      </c>
      <c r="E11" s="10" t="inlineStr">
        <is>
          <t>Beatriz Costa</t>
        </is>
      </c>
      <c r="F11" s="10" t="inlineStr">
        <is>
          <t>Eletrônicos</t>
        </is>
      </c>
      <c r="G11" s="10" t="inlineStr">
        <is>
          <t>Notebook Gamer</t>
        </is>
      </c>
      <c r="H11" s="16" t="n">
        <v>1</v>
      </c>
      <c r="I11" s="17" t="n">
        <v>4500</v>
      </c>
      <c r="J11" s="17">
        <f>H11*I11</f>
        <v/>
      </c>
      <c r="K11" s="17">
        <f>H11*3200</f>
        <v/>
      </c>
      <c r="L11" s="17">
        <f>J11-K11</f>
        <v/>
      </c>
    </row>
    <row r="12">
      <c r="A12" s="14" t="inlineStr">
        <is>
          <t>PED-1011</t>
        </is>
      </c>
      <c r="B12" s="15" t="n">
        <v>46192</v>
      </c>
      <c r="C12" s="14" t="inlineStr">
        <is>
          <t>2026-06</t>
        </is>
      </c>
      <c r="D12" s="10" t="inlineStr">
        <is>
          <t>Sul</t>
        </is>
      </c>
      <c r="E12" s="10" t="inlineStr">
        <is>
          <t>Mariana Oliveira</t>
        </is>
      </c>
      <c r="F12" s="10" t="inlineStr">
        <is>
          <t>Eletrônicos</t>
        </is>
      </c>
      <c r="G12" s="10" t="inlineStr">
        <is>
          <t>Smartphone 5G</t>
        </is>
      </c>
      <c r="H12" s="16" t="n">
        <v>2</v>
      </c>
      <c r="I12" s="17" t="n">
        <v>2800</v>
      </c>
      <c r="J12" s="17">
        <f>H12*I12</f>
        <v/>
      </c>
      <c r="K12" s="17">
        <f>H12*1900</f>
        <v/>
      </c>
      <c r="L12" s="17">
        <f>J12-K12</f>
        <v/>
      </c>
    </row>
    <row r="13">
      <c r="A13" s="14" t="inlineStr">
        <is>
          <t>PED-1012</t>
        </is>
      </c>
      <c r="B13" s="15" t="n">
        <v>46120</v>
      </c>
      <c r="C13" s="14" t="inlineStr">
        <is>
          <t>2026-04</t>
        </is>
      </c>
      <c r="D13" s="10" t="inlineStr">
        <is>
          <t>Nordeste</t>
        </is>
      </c>
      <c r="E13" s="10" t="inlineStr">
        <is>
          <t>Lucas Ferreira</t>
        </is>
      </c>
      <c r="F13" s="10" t="inlineStr">
        <is>
          <t>Acessórios</t>
        </is>
      </c>
      <c r="G13" s="10" t="inlineStr">
        <is>
          <t>Webcam Full HD</t>
        </is>
      </c>
      <c r="H13" s="16" t="n">
        <v>3</v>
      </c>
      <c r="I13" s="17" t="n">
        <v>380</v>
      </c>
      <c r="J13" s="17">
        <f>H13*I13</f>
        <v/>
      </c>
      <c r="K13" s="17">
        <f>H13*220</f>
        <v/>
      </c>
      <c r="L13" s="17">
        <f>J13-K13</f>
        <v/>
      </c>
    </row>
    <row r="14">
      <c r="A14" s="14" t="inlineStr">
        <is>
          <t>PED-1013</t>
        </is>
      </c>
      <c r="B14" s="15" t="n">
        <v>46117</v>
      </c>
      <c r="C14" s="14" t="inlineStr">
        <is>
          <t>2026-04</t>
        </is>
      </c>
      <c r="D14" s="10" t="inlineStr">
        <is>
          <t>Nordeste</t>
        </is>
      </c>
      <c r="E14" s="10" t="inlineStr">
        <is>
          <t>Carlos Souza</t>
        </is>
      </c>
      <c r="F14" s="10" t="inlineStr">
        <is>
          <t>Acessórios</t>
        </is>
      </c>
      <c r="G14" s="10" t="inlineStr">
        <is>
          <t>Webcam Full HD</t>
        </is>
      </c>
      <c r="H14" s="16" t="n">
        <v>2</v>
      </c>
      <c r="I14" s="17" t="n">
        <v>380</v>
      </c>
      <c r="J14" s="17">
        <f>H14*I14</f>
        <v/>
      </c>
      <c r="K14" s="17">
        <f>H14*220</f>
        <v/>
      </c>
      <c r="L14" s="17">
        <f>J14-K14</f>
        <v/>
      </c>
    </row>
    <row r="15">
      <c r="A15" s="14" t="inlineStr">
        <is>
          <t>PED-1014</t>
        </is>
      </c>
      <c r="B15" s="15" t="n">
        <v>46178</v>
      </c>
      <c r="C15" s="14" t="inlineStr">
        <is>
          <t>2026-06</t>
        </is>
      </c>
      <c r="D15" s="10" t="inlineStr">
        <is>
          <t>Sul</t>
        </is>
      </c>
      <c r="E15" s="10" t="inlineStr">
        <is>
          <t>Beatriz Costa</t>
        </is>
      </c>
      <c r="F15" s="10" t="inlineStr">
        <is>
          <t>Acessórios</t>
        </is>
      </c>
      <c r="G15" s="10" t="inlineStr">
        <is>
          <t>Mouse Vertical</t>
        </is>
      </c>
      <c r="H15" s="16" t="n">
        <v>3</v>
      </c>
      <c r="I15" s="17" t="n">
        <v>220</v>
      </c>
      <c r="J15" s="17">
        <f>H15*I15</f>
        <v/>
      </c>
      <c r="K15" s="17">
        <f>H15*120</f>
        <v/>
      </c>
      <c r="L15" s="17">
        <f>J15-K15</f>
        <v/>
      </c>
    </row>
    <row r="16">
      <c r="A16" s="14" t="inlineStr">
        <is>
          <t>PED-1015</t>
        </is>
      </c>
      <c r="B16" s="15" t="n">
        <v>46141</v>
      </c>
      <c r="C16" s="14" t="inlineStr">
        <is>
          <t>2026-04</t>
        </is>
      </c>
      <c r="D16" s="10" t="inlineStr">
        <is>
          <t>Centro-Oeste</t>
        </is>
      </c>
      <c r="E16" s="10" t="inlineStr">
        <is>
          <t>Mariana Oliveira</t>
        </is>
      </c>
      <c r="F16" s="10" t="inlineStr">
        <is>
          <t>Acessórios</t>
        </is>
      </c>
      <c r="G16" s="10" t="inlineStr">
        <is>
          <t>Mouse Vertical</t>
        </is>
      </c>
      <c r="H16" s="16" t="n">
        <v>6</v>
      </c>
      <c r="I16" s="17" t="n">
        <v>220</v>
      </c>
      <c r="J16" s="17">
        <f>H16*I16</f>
        <v/>
      </c>
      <c r="K16" s="17">
        <f>H16*120</f>
        <v/>
      </c>
      <c r="L16" s="17">
        <f>J16-K16</f>
        <v/>
      </c>
    </row>
    <row r="17">
      <c r="A17" s="14" t="inlineStr">
        <is>
          <t>PED-1016</t>
        </is>
      </c>
      <c r="B17" s="15" t="n">
        <v>46238</v>
      </c>
      <c r="C17" s="14" t="inlineStr">
        <is>
          <t>2026-08</t>
        </is>
      </c>
      <c r="D17" s="10" t="inlineStr">
        <is>
          <t>Sudeste</t>
        </is>
      </c>
      <c r="E17" s="10" t="inlineStr">
        <is>
          <t>Carlos Souza</t>
        </is>
      </c>
      <c r="F17" s="10" t="inlineStr">
        <is>
          <t>Eletrônicos</t>
        </is>
      </c>
      <c r="G17" s="10" t="inlineStr">
        <is>
          <t>Monitor 27' 144Hz</t>
        </is>
      </c>
      <c r="H17" s="16" t="n">
        <v>7</v>
      </c>
      <c r="I17" s="17" t="n">
        <v>1600</v>
      </c>
      <c r="J17" s="17">
        <f>H17*I17</f>
        <v/>
      </c>
      <c r="K17" s="17">
        <f>H17*1100</f>
        <v/>
      </c>
      <c r="L17" s="17">
        <f>J17-K17</f>
        <v/>
      </c>
    </row>
    <row r="18">
      <c r="A18" s="14" t="inlineStr">
        <is>
          <t>PED-1017</t>
        </is>
      </c>
      <c r="B18" s="15" t="n">
        <v>46091</v>
      </c>
      <c r="C18" s="14" t="inlineStr">
        <is>
          <t>2026-03</t>
        </is>
      </c>
      <c r="D18" s="10" t="inlineStr">
        <is>
          <t>Sudeste</t>
        </is>
      </c>
      <c r="E18" s="10" t="inlineStr">
        <is>
          <t>Carlos Souza</t>
        </is>
      </c>
      <c r="F18" s="10" t="inlineStr">
        <is>
          <t>Acessórios</t>
        </is>
      </c>
      <c r="G18" s="10" t="inlineStr">
        <is>
          <t>Webcam Full HD</t>
        </is>
      </c>
      <c r="H18" s="16" t="n">
        <v>4</v>
      </c>
      <c r="I18" s="17" t="n">
        <v>380</v>
      </c>
      <c r="J18" s="17">
        <f>H18*I18</f>
        <v/>
      </c>
      <c r="K18" s="17">
        <f>H18*220</f>
        <v/>
      </c>
      <c r="L18" s="17">
        <f>J18-K18</f>
        <v/>
      </c>
    </row>
    <row r="19">
      <c r="A19" s="14" t="inlineStr">
        <is>
          <t>PED-1018</t>
        </is>
      </c>
      <c r="B19" s="15" t="n">
        <v>46190</v>
      </c>
      <c r="C19" s="14" t="inlineStr">
        <is>
          <t>2026-06</t>
        </is>
      </c>
      <c r="D19" s="10" t="inlineStr">
        <is>
          <t>Centro-Oeste</t>
        </is>
      </c>
      <c r="E19" s="10" t="inlineStr">
        <is>
          <t>Lucas Ferreira</t>
        </is>
      </c>
      <c r="F19" s="10" t="inlineStr">
        <is>
          <t>Acessórios</t>
        </is>
      </c>
      <c r="G19" s="10" t="inlineStr">
        <is>
          <t>Suporte Monitor</t>
        </is>
      </c>
      <c r="H19" s="16" t="n">
        <v>3</v>
      </c>
      <c r="I19" s="17" t="n">
        <v>150</v>
      </c>
      <c r="J19" s="17">
        <f>H19*I19</f>
        <v/>
      </c>
      <c r="K19" s="17">
        <f>H19*80</f>
        <v/>
      </c>
      <c r="L19" s="17">
        <f>J19-K19</f>
        <v/>
      </c>
    </row>
    <row r="20">
      <c r="A20" s="14" t="inlineStr">
        <is>
          <t>PED-1019</t>
        </is>
      </c>
      <c r="B20" s="15" t="n">
        <v>46090</v>
      </c>
      <c r="C20" s="14" t="inlineStr">
        <is>
          <t>2026-03</t>
        </is>
      </c>
      <c r="D20" s="10" t="inlineStr">
        <is>
          <t>Sul</t>
        </is>
      </c>
      <c r="E20" s="10" t="inlineStr">
        <is>
          <t>Carlos Souza</t>
        </is>
      </c>
      <c r="F20" s="10" t="inlineStr">
        <is>
          <t>Acessórios</t>
        </is>
      </c>
      <c r="G20" s="10" t="inlineStr">
        <is>
          <t>Webcam Full HD</t>
        </is>
      </c>
      <c r="H20" s="16" t="n">
        <v>10</v>
      </c>
      <c r="I20" s="17" t="n">
        <v>380</v>
      </c>
      <c r="J20" s="17">
        <f>H20*I20</f>
        <v/>
      </c>
      <c r="K20" s="17">
        <f>H20*220</f>
        <v/>
      </c>
      <c r="L20" s="17">
        <f>J20-K20</f>
        <v/>
      </c>
    </row>
    <row r="21">
      <c r="A21" s="14" t="inlineStr">
        <is>
          <t>PED-1020</t>
        </is>
      </c>
      <c r="B21" s="15" t="n">
        <v>46132</v>
      </c>
      <c r="C21" s="14" t="inlineStr">
        <is>
          <t>2026-04</t>
        </is>
      </c>
      <c r="D21" s="10" t="inlineStr">
        <is>
          <t>Norte</t>
        </is>
      </c>
      <c r="E21" s="10" t="inlineStr">
        <is>
          <t>Lucas Ferreira</t>
        </is>
      </c>
      <c r="F21" s="10" t="inlineStr">
        <is>
          <t>Móveis</t>
        </is>
      </c>
      <c r="G21" s="10" t="inlineStr">
        <is>
          <t>Cadeira Ergonômica</t>
        </is>
      </c>
      <c r="H21" s="16" t="n">
        <v>3</v>
      </c>
      <c r="I21" s="17" t="n">
        <v>1200</v>
      </c>
      <c r="J21" s="17">
        <f>H21*I21</f>
        <v/>
      </c>
      <c r="K21" s="17">
        <f>H21*750</f>
        <v/>
      </c>
      <c r="L21" s="17">
        <f>J21-K21</f>
        <v/>
      </c>
    </row>
    <row r="22">
      <c r="A22" s="14" t="inlineStr">
        <is>
          <t>PED-1021</t>
        </is>
      </c>
      <c r="B22" s="15" t="n">
        <v>46153</v>
      </c>
      <c r="C22" s="14" t="inlineStr">
        <is>
          <t>2026-05</t>
        </is>
      </c>
      <c r="D22" s="10" t="inlineStr">
        <is>
          <t>Centro-Oeste</t>
        </is>
      </c>
      <c r="E22" s="10" t="inlineStr">
        <is>
          <t>Ana Silva</t>
        </is>
      </c>
      <c r="F22" s="10" t="inlineStr">
        <is>
          <t>Eletrônicos</t>
        </is>
      </c>
      <c r="G22" s="10" t="inlineStr">
        <is>
          <t>Notebook Gamer</t>
        </is>
      </c>
      <c r="H22" s="16" t="n">
        <v>3</v>
      </c>
      <c r="I22" s="17" t="n">
        <v>4500</v>
      </c>
      <c r="J22" s="17">
        <f>H22*I22</f>
        <v/>
      </c>
      <c r="K22" s="17">
        <f>H22*3200</f>
        <v/>
      </c>
      <c r="L22" s="17">
        <f>J22-K22</f>
        <v/>
      </c>
    </row>
    <row r="23">
      <c r="A23" s="14" t="inlineStr">
        <is>
          <t>PED-1022</t>
        </is>
      </c>
      <c r="B23" s="15" t="n">
        <v>46183</v>
      </c>
      <c r="C23" s="14" t="inlineStr">
        <is>
          <t>2026-06</t>
        </is>
      </c>
      <c r="D23" s="10" t="inlineStr">
        <is>
          <t>Sul</t>
        </is>
      </c>
      <c r="E23" s="10" t="inlineStr">
        <is>
          <t>Lucas Ferreira</t>
        </is>
      </c>
      <c r="F23" s="10" t="inlineStr">
        <is>
          <t>Acessórios</t>
        </is>
      </c>
      <c r="G23" s="10" t="inlineStr">
        <is>
          <t>Teclado Mecânico</t>
        </is>
      </c>
      <c r="H23" s="16" t="n">
        <v>7</v>
      </c>
      <c r="I23" s="17" t="n">
        <v>350</v>
      </c>
      <c r="J23" s="17">
        <f>H23*I23</f>
        <v/>
      </c>
      <c r="K23" s="17">
        <f>H23*200</f>
        <v/>
      </c>
      <c r="L23" s="17">
        <f>J23-K23</f>
        <v/>
      </c>
    </row>
    <row r="24">
      <c r="A24" s="14" t="inlineStr">
        <is>
          <t>PED-1023</t>
        </is>
      </c>
      <c r="B24" s="15" t="n">
        <v>46120</v>
      </c>
      <c r="C24" s="14" t="inlineStr">
        <is>
          <t>2026-04</t>
        </is>
      </c>
      <c r="D24" s="10" t="inlineStr">
        <is>
          <t>Norte</t>
        </is>
      </c>
      <c r="E24" s="10" t="inlineStr">
        <is>
          <t>Lucas Ferreira</t>
        </is>
      </c>
      <c r="F24" s="10" t="inlineStr">
        <is>
          <t>Acessórios</t>
        </is>
      </c>
      <c r="G24" s="10" t="inlineStr">
        <is>
          <t>Webcam Full HD</t>
        </is>
      </c>
      <c r="H24" s="16" t="n">
        <v>9</v>
      </c>
      <c r="I24" s="17" t="n">
        <v>380</v>
      </c>
      <c r="J24" s="17">
        <f>H24*I24</f>
        <v/>
      </c>
      <c r="K24" s="17">
        <f>H24*220</f>
        <v/>
      </c>
      <c r="L24" s="17">
        <f>J24-K24</f>
        <v/>
      </c>
    </row>
    <row r="25">
      <c r="A25" s="14" t="inlineStr">
        <is>
          <t>PED-1024</t>
        </is>
      </c>
      <c r="B25" s="15" t="n">
        <v>46243</v>
      </c>
      <c r="C25" s="14" t="inlineStr">
        <is>
          <t>2026-08</t>
        </is>
      </c>
      <c r="D25" s="10" t="inlineStr">
        <is>
          <t>Sudeste</t>
        </is>
      </c>
      <c r="E25" s="10" t="inlineStr">
        <is>
          <t>Ana Silva</t>
        </is>
      </c>
      <c r="F25" s="10" t="inlineStr">
        <is>
          <t>Acessórios</t>
        </is>
      </c>
      <c r="G25" s="10" t="inlineStr">
        <is>
          <t>Webcam Full HD</t>
        </is>
      </c>
      <c r="H25" s="16" t="n">
        <v>6</v>
      </c>
      <c r="I25" s="17" t="n">
        <v>380</v>
      </c>
      <c r="J25" s="17">
        <f>H25*I25</f>
        <v/>
      </c>
      <c r="K25" s="17">
        <f>H25*220</f>
        <v/>
      </c>
      <c r="L25" s="17">
        <f>J25-K25</f>
        <v/>
      </c>
    </row>
    <row r="26">
      <c r="A26" s="14" t="inlineStr">
        <is>
          <t>PED-1025</t>
        </is>
      </c>
      <c r="B26" s="15" t="n">
        <v>46051</v>
      </c>
      <c r="C26" s="14" t="inlineStr">
        <is>
          <t>2026-01</t>
        </is>
      </c>
      <c r="D26" s="10" t="inlineStr">
        <is>
          <t>Nordeste</t>
        </is>
      </c>
      <c r="E26" s="10" t="inlineStr">
        <is>
          <t>Lucas Ferreira</t>
        </is>
      </c>
      <c r="F26" s="10" t="inlineStr">
        <is>
          <t>Eletrônicos</t>
        </is>
      </c>
      <c r="G26" s="10" t="inlineStr">
        <is>
          <t>Headset Sem Fio</t>
        </is>
      </c>
      <c r="H26" s="16" t="n">
        <v>1</v>
      </c>
      <c r="I26" s="17" t="n">
        <v>450</v>
      </c>
      <c r="J26" s="17">
        <f>H26*I26</f>
        <v/>
      </c>
      <c r="K26" s="17">
        <f>H26*250</f>
        <v/>
      </c>
      <c r="L26" s="17">
        <f>J26-K26</f>
        <v/>
      </c>
    </row>
    <row r="27">
      <c r="A27" s="14" t="inlineStr">
        <is>
          <t>PED-1026</t>
        </is>
      </c>
      <c r="B27" s="15" t="n">
        <v>46207</v>
      </c>
      <c r="C27" s="14" t="inlineStr">
        <is>
          <t>2026-07</t>
        </is>
      </c>
      <c r="D27" s="10" t="inlineStr">
        <is>
          <t>Nordeste</t>
        </is>
      </c>
      <c r="E27" s="10" t="inlineStr">
        <is>
          <t>Beatriz Costa</t>
        </is>
      </c>
      <c r="F27" s="10" t="inlineStr">
        <is>
          <t>Eletrônicos</t>
        </is>
      </c>
      <c r="G27" s="10" t="inlineStr">
        <is>
          <t>Notebook Gamer</t>
        </is>
      </c>
      <c r="H27" s="16" t="n">
        <v>5</v>
      </c>
      <c r="I27" s="17" t="n">
        <v>4500</v>
      </c>
      <c r="J27" s="17">
        <f>H27*I27</f>
        <v/>
      </c>
      <c r="K27" s="17">
        <f>H27*3200</f>
        <v/>
      </c>
      <c r="L27" s="17">
        <f>J27-K27</f>
        <v/>
      </c>
    </row>
    <row r="28">
      <c r="A28" s="14" t="inlineStr">
        <is>
          <t>PED-1027</t>
        </is>
      </c>
      <c r="B28" s="15" t="n">
        <v>46238</v>
      </c>
      <c r="C28" s="14" t="inlineStr">
        <is>
          <t>2026-08</t>
        </is>
      </c>
      <c r="D28" s="10" t="inlineStr">
        <is>
          <t>Norte</t>
        </is>
      </c>
      <c r="E28" s="10" t="inlineStr">
        <is>
          <t>Beatriz Costa</t>
        </is>
      </c>
      <c r="F28" s="10" t="inlineStr">
        <is>
          <t>Eletrônicos</t>
        </is>
      </c>
      <c r="G28" s="10" t="inlineStr">
        <is>
          <t>Smartphone 5G</t>
        </is>
      </c>
      <c r="H28" s="16" t="n">
        <v>6</v>
      </c>
      <c r="I28" s="17" t="n">
        <v>2800</v>
      </c>
      <c r="J28" s="17">
        <f>H28*I28</f>
        <v/>
      </c>
      <c r="K28" s="17">
        <f>H28*1900</f>
        <v/>
      </c>
      <c r="L28" s="17">
        <f>J28-K28</f>
        <v/>
      </c>
    </row>
    <row r="29">
      <c r="A29" s="14" t="inlineStr">
        <is>
          <t>PED-1028</t>
        </is>
      </c>
      <c r="B29" s="15" t="n">
        <v>46218</v>
      </c>
      <c r="C29" s="14" t="inlineStr">
        <is>
          <t>2026-07</t>
        </is>
      </c>
      <c r="D29" s="10" t="inlineStr">
        <is>
          <t>Sul</t>
        </is>
      </c>
      <c r="E29" s="10" t="inlineStr">
        <is>
          <t>Beatriz Costa</t>
        </is>
      </c>
      <c r="F29" s="10" t="inlineStr">
        <is>
          <t>Acessórios</t>
        </is>
      </c>
      <c r="G29" s="10" t="inlineStr">
        <is>
          <t>Teclado Mecânico</t>
        </is>
      </c>
      <c r="H29" s="16" t="n">
        <v>10</v>
      </c>
      <c r="I29" s="17" t="n">
        <v>350</v>
      </c>
      <c r="J29" s="17">
        <f>H29*I29</f>
        <v/>
      </c>
      <c r="K29" s="17">
        <f>H29*200</f>
        <v/>
      </c>
      <c r="L29" s="17">
        <f>J29-K29</f>
        <v/>
      </c>
    </row>
    <row r="30">
      <c r="A30" s="14" t="inlineStr">
        <is>
          <t>PED-1029</t>
        </is>
      </c>
      <c r="B30" s="15" t="n">
        <v>46105</v>
      </c>
      <c r="C30" s="14" t="inlineStr">
        <is>
          <t>2026-03</t>
        </is>
      </c>
      <c r="D30" s="10" t="inlineStr">
        <is>
          <t>Centro-Oeste</t>
        </is>
      </c>
      <c r="E30" s="10" t="inlineStr">
        <is>
          <t>Ana Silva</t>
        </is>
      </c>
      <c r="F30" s="10" t="inlineStr">
        <is>
          <t>Eletrônicos</t>
        </is>
      </c>
      <c r="G30" s="10" t="inlineStr">
        <is>
          <t>Monitor 27' 144Hz</t>
        </is>
      </c>
      <c r="H30" s="16" t="n">
        <v>5</v>
      </c>
      <c r="I30" s="17" t="n">
        <v>1600</v>
      </c>
      <c r="J30" s="17">
        <f>H30*I30</f>
        <v/>
      </c>
      <c r="K30" s="17">
        <f>H30*1100</f>
        <v/>
      </c>
      <c r="L30" s="17">
        <f>J30-K30</f>
        <v/>
      </c>
    </row>
    <row r="31">
      <c r="A31" s="14" t="inlineStr">
        <is>
          <t>PED-1030</t>
        </is>
      </c>
      <c r="B31" s="15" t="n">
        <v>46084</v>
      </c>
      <c r="C31" s="14" t="inlineStr">
        <is>
          <t>2026-03</t>
        </is>
      </c>
      <c r="D31" s="10" t="inlineStr">
        <is>
          <t>Sudeste</t>
        </is>
      </c>
      <c r="E31" s="10" t="inlineStr">
        <is>
          <t>Carlos Souza</t>
        </is>
      </c>
      <c r="F31" s="10" t="inlineStr">
        <is>
          <t>Acessórios</t>
        </is>
      </c>
      <c r="G31" s="10" t="inlineStr">
        <is>
          <t>Teclado Mecânico</t>
        </is>
      </c>
      <c r="H31" s="16" t="n">
        <v>2</v>
      </c>
      <c r="I31" s="17" t="n">
        <v>350</v>
      </c>
      <c r="J31" s="17">
        <f>H31*I31</f>
        <v/>
      </c>
      <c r="K31" s="17">
        <f>H31*200</f>
        <v/>
      </c>
      <c r="L31" s="17">
        <f>J31-K31</f>
        <v/>
      </c>
    </row>
    <row r="32">
      <c r="A32" s="14" t="inlineStr">
        <is>
          <t>PED-1031</t>
        </is>
      </c>
      <c r="B32" s="15" t="n">
        <v>46210</v>
      </c>
      <c r="C32" s="14" t="inlineStr">
        <is>
          <t>2026-07</t>
        </is>
      </c>
      <c r="D32" s="10" t="inlineStr">
        <is>
          <t>Centro-Oeste</t>
        </is>
      </c>
      <c r="E32" s="10" t="inlineStr">
        <is>
          <t>Ana Silva</t>
        </is>
      </c>
      <c r="F32" s="10" t="inlineStr">
        <is>
          <t>Acessórios</t>
        </is>
      </c>
      <c r="G32" s="10" t="inlineStr">
        <is>
          <t>Mouse Vertical</t>
        </is>
      </c>
      <c r="H32" s="16" t="n">
        <v>3</v>
      </c>
      <c r="I32" s="17" t="n">
        <v>220</v>
      </c>
      <c r="J32" s="17">
        <f>H32*I32</f>
        <v/>
      </c>
      <c r="K32" s="17">
        <f>H32*120</f>
        <v/>
      </c>
      <c r="L32" s="17">
        <f>J32-K32</f>
        <v/>
      </c>
    </row>
    <row r="33">
      <c r="A33" s="14" t="inlineStr">
        <is>
          <t>PED-1032</t>
        </is>
      </c>
      <c r="B33" s="15" t="n">
        <v>46191</v>
      </c>
      <c r="C33" s="14" t="inlineStr">
        <is>
          <t>2026-06</t>
        </is>
      </c>
      <c r="D33" s="10" t="inlineStr">
        <is>
          <t>Centro-Oeste</t>
        </is>
      </c>
      <c r="E33" s="10" t="inlineStr">
        <is>
          <t>Beatriz Costa</t>
        </is>
      </c>
      <c r="F33" s="10" t="inlineStr">
        <is>
          <t>Eletrônicos</t>
        </is>
      </c>
      <c r="G33" s="10" t="inlineStr">
        <is>
          <t>Monitor 27' 144Hz</t>
        </is>
      </c>
      <c r="H33" s="16" t="n">
        <v>9</v>
      </c>
      <c r="I33" s="17" t="n">
        <v>1600</v>
      </c>
      <c r="J33" s="17">
        <f>H33*I33</f>
        <v/>
      </c>
      <c r="K33" s="17">
        <f>H33*1100</f>
        <v/>
      </c>
      <c r="L33" s="17">
        <f>J33-K33</f>
        <v/>
      </c>
    </row>
    <row r="34">
      <c r="A34" s="14" t="inlineStr">
        <is>
          <t>PED-1033</t>
        </is>
      </c>
      <c r="B34" s="15" t="n">
        <v>46246</v>
      </c>
      <c r="C34" s="14" t="inlineStr">
        <is>
          <t>2026-08</t>
        </is>
      </c>
      <c r="D34" s="10" t="inlineStr">
        <is>
          <t>Norte</t>
        </is>
      </c>
      <c r="E34" s="10" t="inlineStr">
        <is>
          <t>Lucas Ferreira</t>
        </is>
      </c>
      <c r="F34" s="10" t="inlineStr">
        <is>
          <t>Eletrônicos</t>
        </is>
      </c>
      <c r="G34" s="10" t="inlineStr">
        <is>
          <t>Smartphone 5G</t>
        </is>
      </c>
      <c r="H34" s="16" t="n">
        <v>5</v>
      </c>
      <c r="I34" s="17" t="n">
        <v>2800</v>
      </c>
      <c r="J34" s="17">
        <f>H34*I34</f>
        <v/>
      </c>
      <c r="K34" s="17">
        <f>H34*1900</f>
        <v/>
      </c>
      <c r="L34" s="17">
        <f>J34-K34</f>
        <v/>
      </c>
    </row>
    <row r="35">
      <c r="A35" s="14" t="inlineStr">
        <is>
          <t>PED-1034</t>
        </is>
      </c>
      <c r="B35" s="15" t="n">
        <v>46125</v>
      </c>
      <c r="C35" s="14" t="inlineStr">
        <is>
          <t>2026-04</t>
        </is>
      </c>
      <c r="D35" s="10" t="inlineStr">
        <is>
          <t>Nordeste</t>
        </is>
      </c>
      <c r="E35" s="10" t="inlineStr">
        <is>
          <t>Lucas Ferreira</t>
        </is>
      </c>
      <c r="F35" s="10" t="inlineStr">
        <is>
          <t>Acessórios</t>
        </is>
      </c>
      <c r="G35" s="10" t="inlineStr">
        <is>
          <t>Suporte Monitor</t>
        </is>
      </c>
      <c r="H35" s="16" t="n">
        <v>2</v>
      </c>
      <c r="I35" s="17" t="n">
        <v>150</v>
      </c>
      <c r="J35" s="17">
        <f>H35*I35</f>
        <v/>
      </c>
      <c r="K35" s="17">
        <f>H35*80</f>
        <v/>
      </c>
      <c r="L35" s="17">
        <f>J35-K35</f>
        <v/>
      </c>
    </row>
    <row r="36">
      <c r="A36" s="14" t="inlineStr">
        <is>
          <t>PED-1035</t>
        </is>
      </c>
      <c r="B36" s="15" t="n">
        <v>46086</v>
      </c>
      <c r="C36" s="14" t="inlineStr">
        <is>
          <t>2026-03</t>
        </is>
      </c>
      <c r="D36" s="10" t="inlineStr">
        <is>
          <t>Sul</t>
        </is>
      </c>
      <c r="E36" s="10" t="inlineStr">
        <is>
          <t>Ana Silva</t>
        </is>
      </c>
      <c r="F36" s="10" t="inlineStr">
        <is>
          <t>Móveis</t>
        </is>
      </c>
      <c r="G36" s="10" t="inlineStr">
        <is>
          <t>Cadeira Ergonômica</t>
        </is>
      </c>
      <c r="H36" s="16" t="n">
        <v>10</v>
      </c>
      <c r="I36" s="17" t="n">
        <v>1200</v>
      </c>
      <c r="J36" s="17">
        <f>H36*I36</f>
        <v/>
      </c>
      <c r="K36" s="17">
        <f>H36*750</f>
        <v/>
      </c>
      <c r="L36" s="17">
        <f>J36-K36</f>
        <v/>
      </c>
    </row>
    <row r="37">
      <c r="A37" s="14" t="inlineStr">
        <is>
          <t>PED-1036</t>
        </is>
      </c>
      <c r="B37" s="15" t="n">
        <v>46164</v>
      </c>
      <c r="C37" s="14" t="inlineStr">
        <is>
          <t>2026-05</t>
        </is>
      </c>
      <c r="D37" s="10" t="inlineStr">
        <is>
          <t>Sul</t>
        </is>
      </c>
      <c r="E37" s="10" t="inlineStr">
        <is>
          <t>Beatriz Costa</t>
        </is>
      </c>
      <c r="F37" s="10" t="inlineStr">
        <is>
          <t>Eletrônicos</t>
        </is>
      </c>
      <c r="G37" s="10" t="inlineStr">
        <is>
          <t>Notebook Gamer</t>
        </is>
      </c>
      <c r="H37" s="16" t="n">
        <v>2</v>
      </c>
      <c r="I37" s="17" t="n">
        <v>4500</v>
      </c>
      <c r="J37" s="17">
        <f>H37*I37</f>
        <v/>
      </c>
      <c r="K37" s="17">
        <f>H37*3200</f>
        <v/>
      </c>
      <c r="L37" s="17">
        <f>J37-K37</f>
        <v/>
      </c>
    </row>
    <row r="38">
      <c r="A38" s="14" t="inlineStr">
        <is>
          <t>PED-1037</t>
        </is>
      </c>
      <c r="B38" s="15" t="n">
        <v>46204</v>
      </c>
      <c r="C38" s="14" t="inlineStr">
        <is>
          <t>2026-07</t>
        </is>
      </c>
      <c r="D38" s="10" t="inlineStr">
        <is>
          <t>Sudeste</t>
        </is>
      </c>
      <c r="E38" s="10" t="inlineStr">
        <is>
          <t>Carlos Souza</t>
        </is>
      </c>
      <c r="F38" s="10" t="inlineStr">
        <is>
          <t>Eletrônicos</t>
        </is>
      </c>
      <c r="G38" s="10" t="inlineStr">
        <is>
          <t>Notebook Gamer</t>
        </is>
      </c>
      <c r="H38" s="16" t="n">
        <v>6</v>
      </c>
      <c r="I38" s="17" t="n">
        <v>4500</v>
      </c>
      <c r="J38" s="17">
        <f>H38*I38</f>
        <v/>
      </c>
      <c r="K38" s="17">
        <f>H38*3200</f>
        <v/>
      </c>
      <c r="L38" s="17">
        <f>J38-K38</f>
        <v/>
      </c>
    </row>
    <row r="39">
      <c r="A39" s="14" t="inlineStr">
        <is>
          <t>PED-1038</t>
        </is>
      </c>
      <c r="B39" s="15" t="n">
        <v>46041</v>
      </c>
      <c r="C39" s="14" t="inlineStr">
        <is>
          <t>2026-01</t>
        </is>
      </c>
      <c r="D39" s="10" t="inlineStr">
        <is>
          <t>Norte</t>
        </is>
      </c>
      <c r="E39" s="10" t="inlineStr">
        <is>
          <t>Carlos Souza</t>
        </is>
      </c>
      <c r="F39" s="10" t="inlineStr">
        <is>
          <t>Móveis</t>
        </is>
      </c>
      <c r="G39" s="10" t="inlineStr">
        <is>
          <t>Estante de Livros</t>
        </is>
      </c>
      <c r="H39" s="16" t="n">
        <v>8</v>
      </c>
      <c r="I39" s="17" t="n">
        <v>500</v>
      </c>
      <c r="J39" s="17">
        <f>H39*I39</f>
        <v/>
      </c>
      <c r="K39" s="17">
        <f>H39*300</f>
        <v/>
      </c>
      <c r="L39" s="17">
        <f>J39-K39</f>
        <v/>
      </c>
    </row>
    <row r="40">
      <c r="A40" s="14" t="inlineStr">
        <is>
          <t>PED-1039</t>
        </is>
      </c>
      <c r="B40" s="15" t="n">
        <v>46077</v>
      </c>
      <c r="C40" s="14" t="inlineStr">
        <is>
          <t>2026-02</t>
        </is>
      </c>
      <c r="D40" s="10" t="inlineStr">
        <is>
          <t>Norte</t>
        </is>
      </c>
      <c r="E40" s="10" t="inlineStr">
        <is>
          <t>Carlos Souza</t>
        </is>
      </c>
      <c r="F40" s="10" t="inlineStr">
        <is>
          <t>Acessórios</t>
        </is>
      </c>
      <c r="G40" s="10" t="inlineStr">
        <is>
          <t>Suporte Monitor</t>
        </is>
      </c>
      <c r="H40" s="16" t="n">
        <v>4</v>
      </c>
      <c r="I40" s="17" t="n">
        <v>150</v>
      </c>
      <c r="J40" s="17">
        <f>H40*I40</f>
        <v/>
      </c>
      <c r="K40" s="17">
        <f>H40*80</f>
        <v/>
      </c>
      <c r="L40" s="17">
        <f>J40-K40</f>
        <v/>
      </c>
    </row>
    <row r="41">
      <c r="A41" s="14" t="inlineStr">
        <is>
          <t>PED-1040</t>
        </is>
      </c>
      <c r="B41" s="15" t="n">
        <v>46223</v>
      </c>
      <c r="C41" s="14" t="inlineStr">
        <is>
          <t>2026-07</t>
        </is>
      </c>
      <c r="D41" s="10" t="inlineStr">
        <is>
          <t>Centro-Oeste</t>
        </is>
      </c>
      <c r="E41" s="10" t="inlineStr">
        <is>
          <t>Lucas Ferreira</t>
        </is>
      </c>
      <c r="F41" s="10" t="inlineStr">
        <is>
          <t>Eletrônicos</t>
        </is>
      </c>
      <c r="G41" s="10" t="inlineStr">
        <is>
          <t>Notebook Gamer</t>
        </is>
      </c>
      <c r="H41" s="16" t="n">
        <v>2</v>
      </c>
      <c r="I41" s="17" t="n">
        <v>4500</v>
      </c>
      <c r="J41" s="17">
        <f>H41*I41</f>
        <v/>
      </c>
      <c r="K41" s="17">
        <f>H41*3200</f>
        <v/>
      </c>
      <c r="L41" s="17">
        <f>J41-K41</f>
        <v/>
      </c>
    </row>
    <row r="42">
      <c r="A42" s="14" t="inlineStr">
        <is>
          <t>PED-1041</t>
        </is>
      </c>
      <c r="B42" s="15" t="n">
        <v>46191</v>
      </c>
      <c r="C42" s="14" t="inlineStr">
        <is>
          <t>2026-06</t>
        </is>
      </c>
      <c r="D42" s="10" t="inlineStr">
        <is>
          <t>Centro-Oeste</t>
        </is>
      </c>
      <c r="E42" s="10" t="inlineStr">
        <is>
          <t>Mariana Oliveira</t>
        </is>
      </c>
      <c r="F42" s="10" t="inlineStr">
        <is>
          <t>Móveis</t>
        </is>
      </c>
      <c r="G42" s="10" t="inlineStr">
        <is>
          <t>Mesa Escritório L</t>
        </is>
      </c>
      <c r="H42" s="16" t="n">
        <v>8</v>
      </c>
      <c r="I42" s="17" t="n">
        <v>950</v>
      </c>
      <c r="J42" s="17">
        <f>H42*I42</f>
        <v/>
      </c>
      <c r="K42" s="17">
        <f>H42*600</f>
        <v/>
      </c>
      <c r="L42" s="17">
        <f>J42-K42</f>
        <v/>
      </c>
    </row>
    <row r="43">
      <c r="A43" s="14" t="inlineStr">
        <is>
          <t>PED-1042</t>
        </is>
      </c>
      <c r="B43" s="15" t="n">
        <v>46244</v>
      </c>
      <c r="C43" s="14" t="inlineStr">
        <is>
          <t>2026-08</t>
        </is>
      </c>
      <c r="D43" s="10" t="inlineStr">
        <is>
          <t>Sudeste</t>
        </is>
      </c>
      <c r="E43" s="10" t="inlineStr">
        <is>
          <t>Ana Silva</t>
        </is>
      </c>
      <c r="F43" s="10" t="inlineStr">
        <is>
          <t>Eletrônicos</t>
        </is>
      </c>
      <c r="G43" s="10" t="inlineStr">
        <is>
          <t>Headset Sem Fio</t>
        </is>
      </c>
      <c r="H43" s="16" t="n">
        <v>6</v>
      </c>
      <c r="I43" s="17" t="n">
        <v>450</v>
      </c>
      <c r="J43" s="17">
        <f>H43*I43</f>
        <v/>
      </c>
      <c r="K43" s="17">
        <f>H43*250</f>
        <v/>
      </c>
      <c r="L43" s="17">
        <f>J43-K43</f>
        <v/>
      </c>
    </row>
    <row r="44">
      <c r="A44" s="14" t="inlineStr">
        <is>
          <t>PED-1043</t>
        </is>
      </c>
      <c r="B44" s="15" t="n">
        <v>46227</v>
      </c>
      <c r="C44" s="14" t="inlineStr">
        <is>
          <t>2026-07</t>
        </is>
      </c>
      <c r="D44" s="10" t="inlineStr">
        <is>
          <t>Sudeste</t>
        </is>
      </c>
      <c r="E44" s="10" t="inlineStr">
        <is>
          <t>Carlos Souza</t>
        </is>
      </c>
      <c r="F44" s="10" t="inlineStr">
        <is>
          <t>Eletrônicos</t>
        </is>
      </c>
      <c r="G44" s="10" t="inlineStr">
        <is>
          <t>Smartphone 5G</t>
        </is>
      </c>
      <c r="H44" s="16" t="n">
        <v>9</v>
      </c>
      <c r="I44" s="17" t="n">
        <v>2800</v>
      </c>
      <c r="J44" s="17">
        <f>H44*I44</f>
        <v/>
      </c>
      <c r="K44" s="17">
        <f>H44*1900</f>
        <v/>
      </c>
      <c r="L44" s="17">
        <f>J44-K44</f>
        <v/>
      </c>
    </row>
    <row r="45">
      <c r="A45" s="14" t="inlineStr">
        <is>
          <t>PED-1044</t>
        </is>
      </c>
      <c r="B45" s="15" t="n">
        <v>46137</v>
      </c>
      <c r="C45" s="14" t="inlineStr">
        <is>
          <t>2026-04</t>
        </is>
      </c>
      <c r="D45" s="10" t="inlineStr">
        <is>
          <t>Sul</t>
        </is>
      </c>
      <c r="E45" s="10" t="inlineStr">
        <is>
          <t>Lucas Ferreira</t>
        </is>
      </c>
      <c r="F45" s="10" t="inlineStr">
        <is>
          <t>Eletrônicos</t>
        </is>
      </c>
      <c r="G45" s="10" t="inlineStr">
        <is>
          <t>Monitor 27' 144Hz</t>
        </is>
      </c>
      <c r="H45" s="16" t="n">
        <v>8</v>
      </c>
      <c r="I45" s="17" t="n">
        <v>1600</v>
      </c>
      <c r="J45" s="17">
        <f>H45*I45</f>
        <v/>
      </c>
      <c r="K45" s="17">
        <f>H45*1100</f>
        <v/>
      </c>
      <c r="L45" s="17">
        <f>J45-K45</f>
        <v/>
      </c>
    </row>
    <row r="46">
      <c r="A46" s="14" t="inlineStr">
        <is>
          <t>PED-1045</t>
        </is>
      </c>
      <c r="B46" s="15" t="n">
        <v>46086</v>
      </c>
      <c r="C46" s="14" t="inlineStr">
        <is>
          <t>2026-03</t>
        </is>
      </c>
      <c r="D46" s="10" t="inlineStr">
        <is>
          <t>Sudeste</t>
        </is>
      </c>
      <c r="E46" s="10" t="inlineStr">
        <is>
          <t>Lucas Ferreira</t>
        </is>
      </c>
      <c r="F46" s="10" t="inlineStr">
        <is>
          <t>Acessórios</t>
        </is>
      </c>
      <c r="G46" s="10" t="inlineStr">
        <is>
          <t>Teclado Mecânico</t>
        </is>
      </c>
      <c r="H46" s="16" t="n">
        <v>1</v>
      </c>
      <c r="I46" s="17" t="n">
        <v>350</v>
      </c>
      <c r="J46" s="17">
        <f>H46*I46</f>
        <v/>
      </c>
      <c r="K46" s="17">
        <f>H46*200</f>
        <v/>
      </c>
      <c r="L46" s="17">
        <f>J46-K46</f>
        <v/>
      </c>
    </row>
    <row r="47">
      <c r="A47" s="14" t="inlineStr">
        <is>
          <t>PED-1046</t>
        </is>
      </c>
      <c r="B47" s="15" t="n">
        <v>46189</v>
      </c>
      <c r="C47" s="14" t="inlineStr">
        <is>
          <t>2026-06</t>
        </is>
      </c>
      <c r="D47" s="10" t="inlineStr">
        <is>
          <t>Norte</t>
        </is>
      </c>
      <c r="E47" s="10" t="inlineStr">
        <is>
          <t>Ana Silva</t>
        </is>
      </c>
      <c r="F47" s="10" t="inlineStr">
        <is>
          <t>Eletrônicos</t>
        </is>
      </c>
      <c r="G47" s="10" t="inlineStr">
        <is>
          <t>Smartphone 5G</t>
        </is>
      </c>
      <c r="H47" s="16" t="n">
        <v>3</v>
      </c>
      <c r="I47" s="17" t="n">
        <v>2800</v>
      </c>
      <c r="J47" s="17">
        <f>H47*I47</f>
        <v/>
      </c>
      <c r="K47" s="17">
        <f>H47*1900</f>
        <v/>
      </c>
      <c r="L47" s="17">
        <f>J47-K47</f>
        <v/>
      </c>
    </row>
    <row r="48">
      <c r="A48" s="14" t="inlineStr">
        <is>
          <t>PED-1047</t>
        </is>
      </c>
      <c r="B48" s="15" t="n">
        <v>46127</v>
      </c>
      <c r="C48" s="14" t="inlineStr">
        <is>
          <t>2026-04</t>
        </is>
      </c>
      <c r="D48" s="10" t="inlineStr">
        <is>
          <t>Centro-Oeste</t>
        </is>
      </c>
      <c r="E48" s="10" t="inlineStr">
        <is>
          <t>Lucas Ferreira</t>
        </is>
      </c>
      <c r="F48" s="10" t="inlineStr">
        <is>
          <t>Eletrônicos</t>
        </is>
      </c>
      <c r="G48" s="10" t="inlineStr">
        <is>
          <t>Headset Sem Fio</t>
        </is>
      </c>
      <c r="H48" s="16" t="n">
        <v>1</v>
      </c>
      <c r="I48" s="17" t="n">
        <v>450</v>
      </c>
      <c r="J48" s="17">
        <f>H48*I48</f>
        <v/>
      </c>
      <c r="K48" s="17">
        <f>H48*250</f>
        <v/>
      </c>
      <c r="L48" s="17">
        <f>J48-K48</f>
        <v/>
      </c>
    </row>
    <row r="49">
      <c r="A49" s="14" t="inlineStr">
        <is>
          <t>PED-1048</t>
        </is>
      </c>
      <c r="B49" s="15" t="n">
        <v>46065</v>
      </c>
      <c r="C49" s="14" t="inlineStr">
        <is>
          <t>2026-02</t>
        </is>
      </c>
      <c r="D49" s="10" t="inlineStr">
        <is>
          <t>Centro-Oeste</t>
        </is>
      </c>
      <c r="E49" s="10" t="inlineStr">
        <is>
          <t>Ana Silva</t>
        </is>
      </c>
      <c r="F49" s="10" t="inlineStr">
        <is>
          <t>Móveis</t>
        </is>
      </c>
      <c r="G49" s="10" t="inlineStr">
        <is>
          <t>Mesa Escritório L</t>
        </is>
      </c>
      <c r="H49" s="16" t="n">
        <v>8</v>
      </c>
      <c r="I49" s="17" t="n">
        <v>950</v>
      </c>
      <c r="J49" s="17">
        <f>H49*I49</f>
        <v/>
      </c>
      <c r="K49" s="17">
        <f>H49*600</f>
        <v/>
      </c>
      <c r="L49" s="17">
        <f>J49-K49</f>
        <v/>
      </c>
    </row>
    <row r="50">
      <c r="A50" s="14" t="inlineStr">
        <is>
          <t>PED-1049</t>
        </is>
      </c>
      <c r="B50" s="15" t="n">
        <v>46096</v>
      </c>
      <c r="C50" s="14" t="inlineStr">
        <is>
          <t>2026-03</t>
        </is>
      </c>
      <c r="D50" s="10" t="inlineStr">
        <is>
          <t>Centro-Oeste</t>
        </is>
      </c>
      <c r="E50" s="10" t="inlineStr">
        <is>
          <t>Beatriz Costa</t>
        </is>
      </c>
      <c r="F50" s="10" t="inlineStr">
        <is>
          <t>Acessórios</t>
        </is>
      </c>
      <c r="G50" s="10" t="inlineStr">
        <is>
          <t>Suporte Monitor</t>
        </is>
      </c>
      <c r="H50" s="16" t="n">
        <v>3</v>
      </c>
      <c r="I50" s="17" t="n">
        <v>150</v>
      </c>
      <c r="J50" s="17">
        <f>H50*I50</f>
        <v/>
      </c>
      <c r="K50" s="17">
        <f>H50*80</f>
        <v/>
      </c>
      <c r="L50" s="17">
        <f>J50-K50</f>
        <v/>
      </c>
    </row>
    <row r="51">
      <c r="A51" s="14" t="inlineStr">
        <is>
          <t>PED-1050</t>
        </is>
      </c>
      <c r="B51" s="15" t="n">
        <v>46071</v>
      </c>
      <c r="C51" s="14" t="inlineStr">
        <is>
          <t>2026-02</t>
        </is>
      </c>
      <c r="D51" s="10" t="inlineStr">
        <is>
          <t>Nordeste</t>
        </is>
      </c>
      <c r="E51" s="10" t="inlineStr">
        <is>
          <t>Carlos Souza</t>
        </is>
      </c>
      <c r="F51" s="10" t="inlineStr">
        <is>
          <t>Eletrônicos</t>
        </is>
      </c>
      <c r="G51" s="10" t="inlineStr">
        <is>
          <t>Notebook Gamer</t>
        </is>
      </c>
      <c r="H51" s="16" t="n">
        <v>6</v>
      </c>
      <c r="I51" s="17" t="n">
        <v>4500</v>
      </c>
      <c r="J51" s="17">
        <f>H51*I51</f>
        <v/>
      </c>
      <c r="K51" s="17">
        <f>H51*3200</f>
        <v/>
      </c>
      <c r="L51" s="17">
        <f>J51-K51</f>
        <v/>
      </c>
    </row>
    <row r="52">
      <c r="A52" s="14" t="inlineStr">
        <is>
          <t>PED-1051</t>
        </is>
      </c>
      <c r="B52" s="15" t="n">
        <v>46037</v>
      </c>
      <c r="C52" s="14" t="inlineStr">
        <is>
          <t>2026-01</t>
        </is>
      </c>
      <c r="D52" s="10" t="inlineStr">
        <is>
          <t>Sudeste</t>
        </is>
      </c>
      <c r="E52" s="10" t="inlineStr">
        <is>
          <t>Beatriz Costa</t>
        </is>
      </c>
      <c r="F52" s="10" t="inlineStr">
        <is>
          <t>Móveis</t>
        </is>
      </c>
      <c r="G52" s="10" t="inlineStr">
        <is>
          <t>Estante de Livros</t>
        </is>
      </c>
      <c r="H52" s="16" t="n">
        <v>9</v>
      </c>
      <c r="I52" s="17" t="n">
        <v>500</v>
      </c>
      <c r="J52" s="17">
        <f>H52*I52</f>
        <v/>
      </c>
      <c r="K52" s="17">
        <f>H52*300</f>
        <v/>
      </c>
      <c r="L52" s="17">
        <f>J52-K52</f>
        <v/>
      </c>
    </row>
    <row r="53">
      <c r="A53" s="14" t="inlineStr">
        <is>
          <t>PED-1052</t>
        </is>
      </c>
      <c r="B53" s="15" t="n">
        <v>46063</v>
      </c>
      <c r="C53" s="14" t="inlineStr">
        <is>
          <t>2026-02</t>
        </is>
      </c>
      <c r="D53" s="10" t="inlineStr">
        <is>
          <t>Sudeste</t>
        </is>
      </c>
      <c r="E53" s="10" t="inlineStr">
        <is>
          <t>Beatriz Costa</t>
        </is>
      </c>
      <c r="F53" s="10" t="inlineStr">
        <is>
          <t>Eletrônicos</t>
        </is>
      </c>
      <c r="G53" s="10" t="inlineStr">
        <is>
          <t>Smartphone 5G</t>
        </is>
      </c>
      <c r="H53" s="16" t="n">
        <v>2</v>
      </c>
      <c r="I53" s="17" t="n">
        <v>2800</v>
      </c>
      <c r="J53" s="17">
        <f>H53*I53</f>
        <v/>
      </c>
      <c r="K53" s="17">
        <f>H53*1900</f>
        <v/>
      </c>
      <c r="L53" s="17">
        <f>J53-K53</f>
        <v/>
      </c>
    </row>
    <row r="54">
      <c r="A54" s="14" t="inlineStr">
        <is>
          <t>PED-1053</t>
        </is>
      </c>
      <c r="B54" s="15" t="n">
        <v>46175</v>
      </c>
      <c r="C54" s="14" t="inlineStr">
        <is>
          <t>2026-06</t>
        </is>
      </c>
      <c r="D54" s="10" t="inlineStr">
        <is>
          <t>Sudeste</t>
        </is>
      </c>
      <c r="E54" s="10" t="inlineStr">
        <is>
          <t>Carlos Souza</t>
        </is>
      </c>
      <c r="F54" s="10" t="inlineStr">
        <is>
          <t>Móveis</t>
        </is>
      </c>
      <c r="G54" s="10" t="inlineStr">
        <is>
          <t>Cadeira Ergonômica</t>
        </is>
      </c>
      <c r="H54" s="16" t="n">
        <v>10</v>
      </c>
      <c r="I54" s="17" t="n">
        <v>1200</v>
      </c>
      <c r="J54" s="17">
        <f>H54*I54</f>
        <v/>
      </c>
      <c r="K54" s="17">
        <f>H54*750</f>
        <v/>
      </c>
      <c r="L54" s="17">
        <f>J54-K54</f>
        <v/>
      </c>
    </row>
    <row r="55">
      <c r="A55" s="14" t="inlineStr">
        <is>
          <t>PED-1054</t>
        </is>
      </c>
      <c r="B55" s="15" t="n">
        <v>46086</v>
      </c>
      <c r="C55" s="14" t="inlineStr">
        <is>
          <t>2026-03</t>
        </is>
      </c>
      <c r="D55" s="10" t="inlineStr">
        <is>
          <t>Norte</t>
        </is>
      </c>
      <c r="E55" s="10" t="inlineStr">
        <is>
          <t>Beatriz Costa</t>
        </is>
      </c>
      <c r="F55" s="10" t="inlineStr">
        <is>
          <t>Eletrônicos</t>
        </is>
      </c>
      <c r="G55" s="10" t="inlineStr">
        <is>
          <t>Notebook Gamer</t>
        </is>
      </c>
      <c r="H55" s="16" t="n">
        <v>7</v>
      </c>
      <c r="I55" s="17" t="n">
        <v>4500</v>
      </c>
      <c r="J55" s="17">
        <f>H55*I55</f>
        <v/>
      </c>
      <c r="K55" s="17">
        <f>H55*3200</f>
        <v/>
      </c>
      <c r="L55" s="17">
        <f>J55-K55</f>
        <v/>
      </c>
    </row>
    <row r="56">
      <c r="A56" s="14" t="inlineStr">
        <is>
          <t>PED-1055</t>
        </is>
      </c>
      <c r="B56" s="15" t="n">
        <v>46191</v>
      </c>
      <c r="C56" s="14" t="inlineStr">
        <is>
          <t>2026-06</t>
        </is>
      </c>
      <c r="D56" s="10" t="inlineStr">
        <is>
          <t>Norte</t>
        </is>
      </c>
      <c r="E56" s="10" t="inlineStr">
        <is>
          <t>Beatriz Costa</t>
        </is>
      </c>
      <c r="F56" s="10" t="inlineStr">
        <is>
          <t>Acessórios</t>
        </is>
      </c>
      <c r="G56" s="10" t="inlineStr">
        <is>
          <t>Webcam Full HD</t>
        </is>
      </c>
      <c r="H56" s="16" t="n">
        <v>5</v>
      </c>
      <c r="I56" s="17" t="n">
        <v>380</v>
      </c>
      <c r="J56" s="17">
        <f>H56*I56</f>
        <v/>
      </c>
      <c r="K56" s="17">
        <f>H56*220</f>
        <v/>
      </c>
      <c r="L56" s="17">
        <f>J56-K56</f>
        <v/>
      </c>
    </row>
    <row r="57">
      <c r="A57" s="14" t="inlineStr">
        <is>
          <t>PED-1056</t>
        </is>
      </c>
      <c r="B57" s="15" t="n">
        <v>46075</v>
      </c>
      <c r="C57" s="14" t="inlineStr">
        <is>
          <t>2026-02</t>
        </is>
      </c>
      <c r="D57" s="10" t="inlineStr">
        <is>
          <t>Nordeste</t>
        </is>
      </c>
      <c r="E57" s="10" t="inlineStr">
        <is>
          <t>Carlos Souza</t>
        </is>
      </c>
      <c r="F57" s="10" t="inlineStr">
        <is>
          <t>Móveis</t>
        </is>
      </c>
      <c r="G57" s="10" t="inlineStr">
        <is>
          <t>Mesa Escritório L</t>
        </is>
      </c>
      <c r="H57" s="16" t="n">
        <v>3</v>
      </c>
      <c r="I57" s="17" t="n">
        <v>950</v>
      </c>
      <c r="J57" s="17">
        <f>H57*I57</f>
        <v/>
      </c>
      <c r="K57" s="17">
        <f>H57*600</f>
        <v/>
      </c>
      <c r="L57" s="17">
        <f>J57-K57</f>
        <v/>
      </c>
    </row>
    <row r="58">
      <c r="A58" s="14" t="inlineStr">
        <is>
          <t>PED-1057</t>
        </is>
      </c>
      <c r="B58" s="15" t="n">
        <v>46194</v>
      </c>
      <c r="C58" s="14" t="inlineStr">
        <is>
          <t>2026-06</t>
        </is>
      </c>
      <c r="D58" s="10" t="inlineStr">
        <is>
          <t>Nordeste</t>
        </is>
      </c>
      <c r="E58" s="10" t="inlineStr">
        <is>
          <t>Lucas Ferreira</t>
        </is>
      </c>
      <c r="F58" s="10" t="inlineStr">
        <is>
          <t>Móveis</t>
        </is>
      </c>
      <c r="G58" s="10" t="inlineStr">
        <is>
          <t>Cadeira Ergonômica</t>
        </is>
      </c>
      <c r="H58" s="16" t="n">
        <v>1</v>
      </c>
      <c r="I58" s="17" t="n">
        <v>1200</v>
      </c>
      <c r="J58" s="17">
        <f>H58*I58</f>
        <v/>
      </c>
      <c r="K58" s="17">
        <f>H58*750</f>
        <v/>
      </c>
      <c r="L58" s="17">
        <f>J58-K58</f>
        <v/>
      </c>
    </row>
    <row r="59">
      <c r="A59" s="14" t="inlineStr">
        <is>
          <t>PED-1058</t>
        </is>
      </c>
      <c r="B59" s="15" t="n">
        <v>46140</v>
      </c>
      <c r="C59" s="14" t="inlineStr">
        <is>
          <t>2026-04</t>
        </is>
      </c>
      <c r="D59" s="10" t="inlineStr">
        <is>
          <t>Norte</t>
        </is>
      </c>
      <c r="E59" s="10" t="inlineStr">
        <is>
          <t>Beatriz Costa</t>
        </is>
      </c>
      <c r="F59" s="10" t="inlineStr">
        <is>
          <t>Eletrônicos</t>
        </is>
      </c>
      <c r="G59" s="10" t="inlineStr">
        <is>
          <t>Notebook Gamer</t>
        </is>
      </c>
      <c r="H59" s="16" t="n">
        <v>9</v>
      </c>
      <c r="I59" s="17" t="n">
        <v>4500</v>
      </c>
      <c r="J59" s="17">
        <f>H59*I59</f>
        <v/>
      </c>
      <c r="K59" s="17">
        <f>H59*3200</f>
        <v/>
      </c>
      <c r="L59" s="17">
        <f>J59-K59</f>
        <v/>
      </c>
    </row>
    <row r="60">
      <c r="A60" s="14" t="inlineStr">
        <is>
          <t>PED-1059</t>
        </is>
      </c>
      <c r="B60" s="15" t="n">
        <v>46077</v>
      </c>
      <c r="C60" s="14" t="inlineStr">
        <is>
          <t>2026-02</t>
        </is>
      </c>
      <c r="D60" s="10" t="inlineStr">
        <is>
          <t>Norte</t>
        </is>
      </c>
      <c r="E60" s="10" t="inlineStr">
        <is>
          <t>Mariana Oliveira</t>
        </is>
      </c>
      <c r="F60" s="10" t="inlineStr">
        <is>
          <t>Eletrônicos</t>
        </is>
      </c>
      <c r="G60" s="10" t="inlineStr">
        <is>
          <t>Monitor 27' 144Hz</t>
        </is>
      </c>
      <c r="H60" s="16" t="n">
        <v>2</v>
      </c>
      <c r="I60" s="17" t="n">
        <v>1600</v>
      </c>
      <c r="J60" s="17">
        <f>H60*I60</f>
        <v/>
      </c>
      <c r="K60" s="17">
        <f>H60*1100</f>
        <v/>
      </c>
      <c r="L60" s="17">
        <f>J60-K60</f>
        <v/>
      </c>
    </row>
    <row r="61">
      <c r="A61" s="14" t="inlineStr">
        <is>
          <t>PED-1060</t>
        </is>
      </c>
      <c r="B61" s="15" t="n">
        <v>46248</v>
      </c>
      <c r="C61" s="14" t="inlineStr">
        <is>
          <t>2026-08</t>
        </is>
      </c>
      <c r="D61" s="10" t="inlineStr">
        <is>
          <t>Sul</t>
        </is>
      </c>
      <c r="E61" s="10" t="inlineStr">
        <is>
          <t>Mariana Oliveira</t>
        </is>
      </c>
      <c r="F61" s="10" t="inlineStr">
        <is>
          <t>Móveis</t>
        </is>
      </c>
      <c r="G61" s="10" t="inlineStr">
        <is>
          <t>Cadeira Ergonômica</t>
        </is>
      </c>
      <c r="H61" s="16" t="n">
        <v>8</v>
      </c>
      <c r="I61" s="17" t="n">
        <v>1200</v>
      </c>
      <c r="J61" s="17">
        <f>H61*I61</f>
        <v/>
      </c>
      <c r="K61" s="17">
        <f>H61*750</f>
        <v/>
      </c>
      <c r="L61" s="17">
        <f>J61-K61</f>
        <v/>
      </c>
    </row>
    <row r="62">
      <c r="A62" s="14" t="inlineStr">
        <is>
          <t>PED-1061</t>
        </is>
      </c>
      <c r="B62" s="15" t="n">
        <v>46236</v>
      </c>
      <c r="C62" s="14" t="inlineStr">
        <is>
          <t>2026-08</t>
        </is>
      </c>
      <c r="D62" s="10" t="inlineStr">
        <is>
          <t>Norte</t>
        </is>
      </c>
      <c r="E62" s="10" t="inlineStr">
        <is>
          <t>Mariana Oliveira</t>
        </is>
      </c>
      <c r="F62" s="10" t="inlineStr">
        <is>
          <t>Acessórios</t>
        </is>
      </c>
      <c r="G62" s="10" t="inlineStr">
        <is>
          <t>Teclado Mecânico</t>
        </is>
      </c>
      <c r="H62" s="16" t="n">
        <v>9</v>
      </c>
      <c r="I62" s="17" t="n">
        <v>350</v>
      </c>
      <c r="J62" s="17">
        <f>H62*I62</f>
        <v/>
      </c>
      <c r="K62" s="17">
        <f>H62*200</f>
        <v/>
      </c>
      <c r="L62" s="17">
        <f>J62-K62</f>
        <v/>
      </c>
    </row>
    <row r="63">
      <c r="A63" s="14" t="inlineStr">
        <is>
          <t>PED-1062</t>
        </is>
      </c>
      <c r="B63" s="15" t="n">
        <v>46099</v>
      </c>
      <c r="C63" s="14" t="inlineStr">
        <is>
          <t>2026-03</t>
        </is>
      </c>
      <c r="D63" s="10" t="inlineStr">
        <is>
          <t>Sudeste</t>
        </is>
      </c>
      <c r="E63" s="10" t="inlineStr">
        <is>
          <t>Carlos Souza</t>
        </is>
      </c>
      <c r="F63" s="10" t="inlineStr">
        <is>
          <t>Móveis</t>
        </is>
      </c>
      <c r="G63" s="10" t="inlineStr">
        <is>
          <t>Cadeira Ergonômica</t>
        </is>
      </c>
      <c r="H63" s="16" t="n">
        <v>2</v>
      </c>
      <c r="I63" s="17" t="n">
        <v>1200</v>
      </c>
      <c r="J63" s="17">
        <f>H63*I63</f>
        <v/>
      </c>
      <c r="K63" s="17">
        <f>H63*750</f>
        <v/>
      </c>
      <c r="L63" s="17">
        <f>J63-K63</f>
        <v/>
      </c>
    </row>
    <row r="64">
      <c r="A64" s="14" t="inlineStr">
        <is>
          <t>PED-1063</t>
        </is>
      </c>
      <c r="B64" s="15" t="n">
        <v>46213</v>
      </c>
      <c r="C64" s="14" t="inlineStr">
        <is>
          <t>2026-07</t>
        </is>
      </c>
      <c r="D64" s="10" t="inlineStr">
        <is>
          <t>Norte</t>
        </is>
      </c>
      <c r="E64" s="10" t="inlineStr">
        <is>
          <t>Carlos Souza</t>
        </is>
      </c>
      <c r="F64" s="10" t="inlineStr">
        <is>
          <t>Móveis</t>
        </is>
      </c>
      <c r="G64" s="10" t="inlineStr">
        <is>
          <t>Mesa Escritório L</t>
        </is>
      </c>
      <c r="H64" s="16" t="n">
        <v>10</v>
      </c>
      <c r="I64" s="17" t="n">
        <v>950</v>
      </c>
      <c r="J64" s="17">
        <f>H64*I64</f>
        <v/>
      </c>
      <c r="K64" s="17">
        <f>H64*600</f>
        <v/>
      </c>
      <c r="L64" s="17">
        <f>J64-K64</f>
        <v/>
      </c>
    </row>
    <row r="65">
      <c r="A65" s="14" t="inlineStr">
        <is>
          <t>PED-1064</t>
        </is>
      </c>
      <c r="B65" s="15" t="n">
        <v>46076</v>
      </c>
      <c r="C65" s="14" t="inlineStr">
        <is>
          <t>2026-02</t>
        </is>
      </c>
      <c r="D65" s="10" t="inlineStr">
        <is>
          <t>Nordeste</t>
        </is>
      </c>
      <c r="E65" s="10" t="inlineStr">
        <is>
          <t>Carlos Souza</t>
        </is>
      </c>
      <c r="F65" s="10" t="inlineStr">
        <is>
          <t>Acessórios</t>
        </is>
      </c>
      <c r="G65" s="10" t="inlineStr">
        <is>
          <t>Webcam Full HD</t>
        </is>
      </c>
      <c r="H65" s="16" t="n">
        <v>9</v>
      </c>
      <c r="I65" s="17" t="n">
        <v>380</v>
      </c>
      <c r="J65" s="17">
        <f>H65*I65</f>
        <v/>
      </c>
      <c r="K65" s="17">
        <f>H65*220</f>
        <v/>
      </c>
      <c r="L65" s="17">
        <f>J65-K65</f>
        <v/>
      </c>
    </row>
    <row r="66">
      <c r="A66" s="14" t="inlineStr">
        <is>
          <t>PED-1065</t>
        </is>
      </c>
      <c r="B66" s="15" t="n">
        <v>46148</v>
      </c>
      <c r="C66" s="14" t="inlineStr">
        <is>
          <t>2026-05</t>
        </is>
      </c>
      <c r="D66" s="10" t="inlineStr">
        <is>
          <t>Nordeste</t>
        </is>
      </c>
      <c r="E66" s="10" t="inlineStr">
        <is>
          <t>Ana Silva</t>
        </is>
      </c>
      <c r="F66" s="10" t="inlineStr">
        <is>
          <t>Eletrônicos</t>
        </is>
      </c>
      <c r="G66" s="10" t="inlineStr">
        <is>
          <t>Headset Sem Fio</t>
        </is>
      </c>
      <c r="H66" s="16" t="n">
        <v>5</v>
      </c>
      <c r="I66" s="17" t="n">
        <v>450</v>
      </c>
      <c r="J66" s="17">
        <f>H66*I66</f>
        <v/>
      </c>
      <c r="K66" s="17">
        <f>H66*250</f>
        <v/>
      </c>
      <c r="L66" s="17">
        <f>J66-K66</f>
        <v/>
      </c>
    </row>
    <row r="67">
      <c r="A67" s="14" t="inlineStr">
        <is>
          <t>PED-1066</t>
        </is>
      </c>
      <c r="B67" s="15" t="n">
        <v>46034</v>
      </c>
      <c r="C67" s="14" t="inlineStr">
        <is>
          <t>2026-01</t>
        </is>
      </c>
      <c r="D67" s="10" t="inlineStr">
        <is>
          <t>Sudeste</t>
        </is>
      </c>
      <c r="E67" s="10" t="inlineStr">
        <is>
          <t>Mariana Oliveira</t>
        </is>
      </c>
      <c r="F67" s="10" t="inlineStr">
        <is>
          <t>Eletrônicos</t>
        </is>
      </c>
      <c r="G67" s="10" t="inlineStr">
        <is>
          <t>Monitor 27' 144Hz</t>
        </is>
      </c>
      <c r="H67" s="16" t="n">
        <v>3</v>
      </c>
      <c r="I67" s="17" t="n">
        <v>1600</v>
      </c>
      <c r="J67" s="17">
        <f>H67*I67</f>
        <v/>
      </c>
      <c r="K67" s="17">
        <f>H67*1100</f>
        <v/>
      </c>
      <c r="L67" s="17">
        <f>J67-K67</f>
        <v/>
      </c>
    </row>
    <row r="68">
      <c r="A68" s="14" t="inlineStr">
        <is>
          <t>PED-1067</t>
        </is>
      </c>
      <c r="B68" s="15" t="n">
        <v>46212</v>
      </c>
      <c r="C68" s="14" t="inlineStr">
        <is>
          <t>2026-07</t>
        </is>
      </c>
      <c r="D68" s="10" t="inlineStr">
        <is>
          <t>Centro-Oeste</t>
        </is>
      </c>
      <c r="E68" s="10" t="inlineStr">
        <is>
          <t>Beatriz Costa</t>
        </is>
      </c>
      <c r="F68" s="10" t="inlineStr">
        <is>
          <t>Acessórios</t>
        </is>
      </c>
      <c r="G68" s="10" t="inlineStr">
        <is>
          <t>Suporte Monitor</t>
        </is>
      </c>
      <c r="H68" s="16" t="n">
        <v>9</v>
      </c>
      <c r="I68" s="17" t="n">
        <v>150</v>
      </c>
      <c r="J68" s="17">
        <f>H68*I68</f>
        <v/>
      </c>
      <c r="K68" s="17">
        <f>H68*80</f>
        <v/>
      </c>
      <c r="L68" s="17">
        <f>J68-K68</f>
        <v/>
      </c>
    </row>
    <row r="69">
      <c r="A69" s="14" t="inlineStr">
        <is>
          <t>PED-1068</t>
        </is>
      </c>
      <c r="B69" s="15" t="n">
        <v>46025</v>
      </c>
      <c r="C69" s="14" t="inlineStr">
        <is>
          <t>2026-01</t>
        </is>
      </c>
      <c r="D69" s="10" t="inlineStr">
        <is>
          <t>Sudeste</t>
        </is>
      </c>
      <c r="E69" s="10" t="inlineStr">
        <is>
          <t>Ana Silva</t>
        </is>
      </c>
      <c r="F69" s="10" t="inlineStr">
        <is>
          <t>Acessórios</t>
        </is>
      </c>
      <c r="G69" s="10" t="inlineStr">
        <is>
          <t>Mouse Vertical</t>
        </is>
      </c>
      <c r="H69" s="16" t="n">
        <v>9</v>
      </c>
      <c r="I69" s="17" t="n">
        <v>220</v>
      </c>
      <c r="J69" s="17">
        <f>H69*I69</f>
        <v/>
      </c>
      <c r="K69" s="17">
        <f>H69*120</f>
        <v/>
      </c>
      <c r="L69" s="17">
        <f>J69-K69</f>
        <v/>
      </c>
    </row>
    <row r="70">
      <c r="A70" s="14" t="inlineStr">
        <is>
          <t>PED-1069</t>
        </is>
      </c>
      <c r="B70" s="15" t="n">
        <v>46032</v>
      </c>
      <c r="C70" s="14" t="inlineStr">
        <is>
          <t>2026-01</t>
        </is>
      </c>
      <c r="D70" s="10" t="inlineStr">
        <is>
          <t>Nordeste</t>
        </is>
      </c>
      <c r="E70" s="10" t="inlineStr">
        <is>
          <t>Beatriz Costa</t>
        </is>
      </c>
      <c r="F70" s="10" t="inlineStr">
        <is>
          <t>Acessórios</t>
        </is>
      </c>
      <c r="G70" s="10" t="inlineStr">
        <is>
          <t>Mouse Vertical</t>
        </is>
      </c>
      <c r="H70" s="16" t="n">
        <v>7</v>
      </c>
      <c r="I70" s="17" t="n">
        <v>220</v>
      </c>
      <c r="J70" s="17">
        <f>H70*I70</f>
        <v/>
      </c>
      <c r="K70" s="17">
        <f>H70*120</f>
        <v/>
      </c>
      <c r="L70" s="17">
        <f>J70-K70</f>
        <v/>
      </c>
    </row>
    <row r="71">
      <c r="A71" s="14" t="inlineStr">
        <is>
          <t>PED-1070</t>
        </is>
      </c>
      <c r="B71" s="15" t="n">
        <v>46055</v>
      </c>
      <c r="C71" s="14" t="inlineStr">
        <is>
          <t>2026-02</t>
        </is>
      </c>
      <c r="D71" s="10" t="inlineStr">
        <is>
          <t>Sudeste</t>
        </is>
      </c>
      <c r="E71" s="10" t="inlineStr">
        <is>
          <t>Mariana Oliveira</t>
        </is>
      </c>
      <c r="F71" s="10" t="inlineStr">
        <is>
          <t>Móveis</t>
        </is>
      </c>
      <c r="G71" s="10" t="inlineStr">
        <is>
          <t>Cadeira Ergonômica</t>
        </is>
      </c>
      <c r="H71" s="16" t="n">
        <v>6</v>
      </c>
      <c r="I71" s="17" t="n">
        <v>1200</v>
      </c>
      <c r="J71" s="17">
        <f>H71*I71</f>
        <v/>
      </c>
      <c r="K71" s="17">
        <f>H71*750</f>
        <v/>
      </c>
      <c r="L71" s="17">
        <f>J71-K71</f>
        <v/>
      </c>
    </row>
    <row r="72">
      <c r="A72" s="14" t="inlineStr">
        <is>
          <t>PED-1071</t>
        </is>
      </c>
      <c r="B72" s="15" t="n">
        <v>46076</v>
      </c>
      <c r="C72" s="14" t="inlineStr">
        <is>
          <t>2026-02</t>
        </is>
      </c>
      <c r="D72" s="10" t="inlineStr">
        <is>
          <t>Sul</t>
        </is>
      </c>
      <c r="E72" s="10" t="inlineStr">
        <is>
          <t>Ana Silva</t>
        </is>
      </c>
      <c r="F72" s="10" t="inlineStr">
        <is>
          <t>Móveis</t>
        </is>
      </c>
      <c r="G72" s="10" t="inlineStr">
        <is>
          <t>Estante de Livros</t>
        </is>
      </c>
      <c r="H72" s="16" t="n">
        <v>7</v>
      </c>
      <c r="I72" s="17" t="n">
        <v>500</v>
      </c>
      <c r="J72" s="17">
        <f>H72*I72</f>
        <v/>
      </c>
      <c r="K72" s="17">
        <f>H72*300</f>
        <v/>
      </c>
      <c r="L72" s="17">
        <f>J72-K72</f>
        <v/>
      </c>
    </row>
    <row r="73">
      <c r="A73" s="14" t="inlineStr">
        <is>
          <t>PED-1072</t>
        </is>
      </c>
      <c r="B73" s="15" t="n">
        <v>46181</v>
      </c>
      <c r="C73" s="14" t="inlineStr">
        <is>
          <t>2026-06</t>
        </is>
      </c>
      <c r="D73" s="10" t="inlineStr">
        <is>
          <t>Sul</t>
        </is>
      </c>
      <c r="E73" s="10" t="inlineStr">
        <is>
          <t>Carlos Souza</t>
        </is>
      </c>
      <c r="F73" s="10" t="inlineStr">
        <is>
          <t>Eletrônicos</t>
        </is>
      </c>
      <c r="G73" s="10" t="inlineStr">
        <is>
          <t>Smartphone 5G</t>
        </is>
      </c>
      <c r="H73" s="16" t="n">
        <v>7</v>
      </c>
      <c r="I73" s="17" t="n">
        <v>2800</v>
      </c>
      <c r="J73" s="17">
        <f>H73*I73</f>
        <v/>
      </c>
      <c r="K73" s="17">
        <f>H73*1900</f>
        <v/>
      </c>
      <c r="L73" s="17">
        <f>J73-K73</f>
        <v/>
      </c>
    </row>
    <row r="74">
      <c r="A74" s="14" t="inlineStr">
        <is>
          <t>PED-1073</t>
        </is>
      </c>
      <c r="B74" s="15" t="n">
        <v>46029</v>
      </c>
      <c r="C74" s="14" t="inlineStr">
        <is>
          <t>2026-01</t>
        </is>
      </c>
      <c r="D74" s="10" t="inlineStr">
        <is>
          <t>Sul</t>
        </is>
      </c>
      <c r="E74" s="10" t="inlineStr">
        <is>
          <t>Mariana Oliveira</t>
        </is>
      </c>
      <c r="F74" s="10" t="inlineStr">
        <is>
          <t>Móveis</t>
        </is>
      </c>
      <c r="G74" s="10" t="inlineStr">
        <is>
          <t>Estante de Livros</t>
        </is>
      </c>
      <c r="H74" s="16" t="n">
        <v>4</v>
      </c>
      <c r="I74" s="17" t="n">
        <v>500</v>
      </c>
      <c r="J74" s="17">
        <f>H74*I74</f>
        <v/>
      </c>
      <c r="K74" s="17">
        <f>H74*300</f>
        <v/>
      </c>
      <c r="L74" s="17">
        <f>J74-K74</f>
        <v/>
      </c>
    </row>
    <row r="75">
      <c r="A75" s="14" t="inlineStr">
        <is>
          <t>PED-1074</t>
        </is>
      </c>
      <c r="B75" s="15" t="n">
        <v>46091</v>
      </c>
      <c r="C75" s="14" t="inlineStr">
        <is>
          <t>2026-03</t>
        </is>
      </c>
      <c r="D75" s="10" t="inlineStr">
        <is>
          <t>Sul</t>
        </is>
      </c>
      <c r="E75" s="10" t="inlineStr">
        <is>
          <t>Ana Silva</t>
        </is>
      </c>
      <c r="F75" s="10" t="inlineStr">
        <is>
          <t>Móveis</t>
        </is>
      </c>
      <c r="G75" s="10" t="inlineStr">
        <is>
          <t>Cadeira Ergonômica</t>
        </is>
      </c>
      <c r="H75" s="16" t="n">
        <v>8</v>
      </c>
      <c r="I75" s="17" t="n">
        <v>1200</v>
      </c>
      <c r="J75" s="17">
        <f>H75*I75</f>
        <v/>
      </c>
      <c r="K75" s="17">
        <f>H75*750</f>
        <v/>
      </c>
      <c r="L75" s="17">
        <f>J75-K75</f>
        <v/>
      </c>
    </row>
    <row r="76">
      <c r="A76" s="14" t="inlineStr">
        <is>
          <t>PED-1075</t>
        </is>
      </c>
      <c r="B76" s="15" t="n">
        <v>46079</v>
      </c>
      <c r="C76" s="14" t="inlineStr">
        <is>
          <t>2026-02</t>
        </is>
      </c>
      <c r="D76" s="10" t="inlineStr">
        <is>
          <t>Sul</t>
        </is>
      </c>
      <c r="E76" s="10" t="inlineStr">
        <is>
          <t>Lucas Ferreira</t>
        </is>
      </c>
      <c r="F76" s="10" t="inlineStr">
        <is>
          <t>Móveis</t>
        </is>
      </c>
      <c r="G76" s="10" t="inlineStr">
        <is>
          <t>Mesa Escritório L</t>
        </is>
      </c>
      <c r="H76" s="16" t="n">
        <v>4</v>
      </c>
      <c r="I76" s="17" t="n">
        <v>950</v>
      </c>
      <c r="J76" s="17">
        <f>H76*I76</f>
        <v/>
      </c>
      <c r="K76" s="17">
        <f>H76*600</f>
        <v/>
      </c>
      <c r="L76" s="17">
        <f>J76-K76</f>
        <v/>
      </c>
    </row>
    <row r="77">
      <c r="A77" s="14" t="inlineStr">
        <is>
          <t>PED-1076</t>
        </is>
      </c>
      <c r="B77" s="15" t="n">
        <v>46080</v>
      </c>
      <c r="C77" s="14" t="inlineStr">
        <is>
          <t>2026-02</t>
        </is>
      </c>
      <c r="D77" s="10" t="inlineStr">
        <is>
          <t>Sudeste</t>
        </is>
      </c>
      <c r="E77" s="10" t="inlineStr">
        <is>
          <t>Carlos Souza</t>
        </is>
      </c>
      <c r="F77" s="10" t="inlineStr">
        <is>
          <t>Móveis</t>
        </is>
      </c>
      <c r="G77" s="10" t="inlineStr">
        <is>
          <t>Mesa Escritório L</t>
        </is>
      </c>
      <c r="H77" s="16" t="n">
        <v>5</v>
      </c>
      <c r="I77" s="17" t="n">
        <v>950</v>
      </c>
      <c r="J77" s="17">
        <f>H77*I77</f>
        <v/>
      </c>
      <c r="K77" s="17">
        <f>H77*600</f>
        <v/>
      </c>
      <c r="L77" s="17">
        <f>J77-K77</f>
        <v/>
      </c>
    </row>
    <row r="78">
      <c r="A78" s="14" t="inlineStr">
        <is>
          <t>PED-1077</t>
        </is>
      </c>
      <c r="B78" s="15" t="n">
        <v>46244</v>
      </c>
      <c r="C78" s="14" t="inlineStr">
        <is>
          <t>2026-08</t>
        </is>
      </c>
      <c r="D78" s="10" t="inlineStr">
        <is>
          <t>Sudeste</t>
        </is>
      </c>
      <c r="E78" s="10" t="inlineStr">
        <is>
          <t>Mariana Oliveira</t>
        </is>
      </c>
      <c r="F78" s="10" t="inlineStr">
        <is>
          <t>Móveis</t>
        </is>
      </c>
      <c r="G78" s="10" t="inlineStr">
        <is>
          <t>Estante de Livros</t>
        </is>
      </c>
      <c r="H78" s="16" t="n">
        <v>9</v>
      </c>
      <c r="I78" s="17" t="n">
        <v>500</v>
      </c>
      <c r="J78" s="17">
        <f>H78*I78</f>
        <v/>
      </c>
      <c r="K78" s="17">
        <f>H78*300</f>
        <v/>
      </c>
      <c r="L78" s="17">
        <f>J78-K78</f>
        <v/>
      </c>
    </row>
    <row r="79">
      <c r="A79" s="14" t="inlineStr">
        <is>
          <t>PED-1078</t>
        </is>
      </c>
      <c r="B79" s="15" t="n">
        <v>46125</v>
      </c>
      <c r="C79" s="14" t="inlineStr">
        <is>
          <t>2026-04</t>
        </is>
      </c>
      <c r="D79" s="10" t="inlineStr">
        <is>
          <t>Norte</t>
        </is>
      </c>
      <c r="E79" s="10" t="inlineStr">
        <is>
          <t>Mariana Oliveira</t>
        </is>
      </c>
      <c r="F79" s="10" t="inlineStr">
        <is>
          <t>Eletrônicos</t>
        </is>
      </c>
      <c r="G79" s="10" t="inlineStr">
        <is>
          <t>Notebook Gamer</t>
        </is>
      </c>
      <c r="H79" s="16" t="n">
        <v>5</v>
      </c>
      <c r="I79" s="17" t="n">
        <v>4500</v>
      </c>
      <c r="J79" s="17">
        <f>H79*I79</f>
        <v/>
      </c>
      <c r="K79" s="17">
        <f>H79*3200</f>
        <v/>
      </c>
      <c r="L79" s="17">
        <f>J79-K79</f>
        <v/>
      </c>
    </row>
    <row r="80">
      <c r="A80" s="14" t="inlineStr">
        <is>
          <t>PED-1079</t>
        </is>
      </c>
      <c r="B80" s="15" t="n">
        <v>46068</v>
      </c>
      <c r="C80" s="14" t="inlineStr">
        <is>
          <t>2026-02</t>
        </is>
      </c>
      <c r="D80" s="10" t="inlineStr">
        <is>
          <t>Norte</t>
        </is>
      </c>
      <c r="E80" s="10" t="inlineStr">
        <is>
          <t>Mariana Oliveira</t>
        </is>
      </c>
      <c r="F80" s="10" t="inlineStr">
        <is>
          <t>Eletrônicos</t>
        </is>
      </c>
      <c r="G80" s="10" t="inlineStr">
        <is>
          <t>Notebook Gamer</t>
        </is>
      </c>
      <c r="H80" s="16" t="n">
        <v>10</v>
      </c>
      <c r="I80" s="17" t="n">
        <v>4500</v>
      </c>
      <c r="J80" s="17">
        <f>H80*I80</f>
        <v/>
      </c>
      <c r="K80" s="17">
        <f>H80*3200</f>
        <v/>
      </c>
      <c r="L80" s="17">
        <f>J80-K80</f>
        <v/>
      </c>
    </row>
    <row r="81">
      <c r="A81" s="14" t="inlineStr">
        <is>
          <t>PED-1080</t>
        </is>
      </c>
      <c r="B81" s="15" t="n">
        <v>46134</v>
      </c>
      <c r="C81" s="14" t="inlineStr">
        <is>
          <t>2026-04</t>
        </is>
      </c>
      <c r="D81" s="10" t="inlineStr">
        <is>
          <t>Nordeste</t>
        </is>
      </c>
      <c r="E81" s="10" t="inlineStr">
        <is>
          <t>Mariana Oliveira</t>
        </is>
      </c>
      <c r="F81" s="10" t="inlineStr">
        <is>
          <t>Móveis</t>
        </is>
      </c>
      <c r="G81" s="10" t="inlineStr">
        <is>
          <t>Estante de Livros</t>
        </is>
      </c>
      <c r="H81" s="16" t="n">
        <v>9</v>
      </c>
      <c r="I81" s="17" t="n">
        <v>500</v>
      </c>
      <c r="J81" s="17">
        <f>H81*I81</f>
        <v/>
      </c>
      <c r="K81" s="17">
        <f>H81*300</f>
        <v/>
      </c>
      <c r="L81" s="17">
        <f>J81-K81</f>
        <v/>
      </c>
    </row>
    <row r="82">
      <c r="A82" s="14" t="inlineStr">
        <is>
          <t>PED-1081</t>
        </is>
      </c>
      <c r="B82" s="15" t="n">
        <v>46052</v>
      </c>
      <c r="C82" s="14" t="inlineStr">
        <is>
          <t>2026-01</t>
        </is>
      </c>
      <c r="D82" s="10" t="inlineStr">
        <is>
          <t>Centro-Oeste</t>
        </is>
      </c>
      <c r="E82" s="10" t="inlineStr">
        <is>
          <t>Beatriz Costa</t>
        </is>
      </c>
      <c r="F82" s="10" t="inlineStr">
        <is>
          <t>Eletrônicos</t>
        </is>
      </c>
      <c r="G82" s="10" t="inlineStr">
        <is>
          <t>Monitor 27' 144Hz</t>
        </is>
      </c>
      <c r="H82" s="16" t="n">
        <v>1</v>
      </c>
      <c r="I82" s="17" t="n">
        <v>1600</v>
      </c>
      <c r="J82" s="17">
        <f>H82*I82</f>
        <v/>
      </c>
      <c r="K82" s="17">
        <f>H82*1100</f>
        <v/>
      </c>
      <c r="L82" s="17">
        <f>J82-K82</f>
        <v/>
      </c>
    </row>
    <row r="83">
      <c r="A83" s="14" t="inlineStr">
        <is>
          <t>PED-1082</t>
        </is>
      </c>
      <c r="B83" s="15" t="n">
        <v>46204</v>
      </c>
      <c r="C83" s="14" t="inlineStr">
        <is>
          <t>2026-07</t>
        </is>
      </c>
      <c r="D83" s="10" t="inlineStr">
        <is>
          <t>Centro-Oeste</t>
        </is>
      </c>
      <c r="E83" s="10" t="inlineStr">
        <is>
          <t>Ana Silva</t>
        </is>
      </c>
      <c r="F83" s="10" t="inlineStr">
        <is>
          <t>Acessórios</t>
        </is>
      </c>
      <c r="G83" s="10" t="inlineStr">
        <is>
          <t>Mouse Vertical</t>
        </is>
      </c>
      <c r="H83" s="16" t="n">
        <v>6</v>
      </c>
      <c r="I83" s="17" t="n">
        <v>220</v>
      </c>
      <c r="J83" s="17">
        <f>H83*I83</f>
        <v/>
      </c>
      <c r="K83" s="17">
        <f>H83*120</f>
        <v/>
      </c>
      <c r="L83" s="17">
        <f>J83-K83</f>
        <v/>
      </c>
    </row>
    <row r="84">
      <c r="A84" s="14" t="inlineStr">
        <is>
          <t>PED-1083</t>
        </is>
      </c>
      <c r="B84" s="15" t="n">
        <v>46133</v>
      </c>
      <c r="C84" s="14" t="inlineStr">
        <is>
          <t>2026-04</t>
        </is>
      </c>
      <c r="D84" s="10" t="inlineStr">
        <is>
          <t>Sudeste</t>
        </is>
      </c>
      <c r="E84" s="10" t="inlineStr">
        <is>
          <t>Mariana Oliveira</t>
        </is>
      </c>
      <c r="F84" s="10" t="inlineStr">
        <is>
          <t>Acessórios</t>
        </is>
      </c>
      <c r="G84" s="10" t="inlineStr">
        <is>
          <t>Webcam Full HD</t>
        </is>
      </c>
      <c r="H84" s="16" t="n">
        <v>2</v>
      </c>
      <c r="I84" s="17" t="n">
        <v>380</v>
      </c>
      <c r="J84" s="17">
        <f>H84*I84</f>
        <v/>
      </c>
      <c r="K84" s="17">
        <f>H84*220</f>
        <v/>
      </c>
      <c r="L84" s="17">
        <f>J84-K84</f>
        <v/>
      </c>
    </row>
    <row r="85">
      <c r="A85" s="14" t="inlineStr">
        <is>
          <t>PED-1084</t>
        </is>
      </c>
      <c r="B85" s="15" t="n">
        <v>46207</v>
      </c>
      <c r="C85" s="14" t="inlineStr">
        <is>
          <t>2026-07</t>
        </is>
      </c>
      <c r="D85" s="10" t="inlineStr">
        <is>
          <t>Nordeste</t>
        </is>
      </c>
      <c r="E85" s="10" t="inlineStr">
        <is>
          <t>Beatriz Costa</t>
        </is>
      </c>
      <c r="F85" s="10" t="inlineStr">
        <is>
          <t>Móveis</t>
        </is>
      </c>
      <c r="G85" s="10" t="inlineStr">
        <is>
          <t>Estante de Livros</t>
        </is>
      </c>
      <c r="H85" s="16" t="n">
        <v>7</v>
      </c>
      <c r="I85" s="17" t="n">
        <v>500</v>
      </c>
      <c r="J85" s="17">
        <f>H85*I85</f>
        <v/>
      </c>
      <c r="K85" s="17">
        <f>H85*300</f>
        <v/>
      </c>
      <c r="L85" s="17">
        <f>J85-K85</f>
        <v/>
      </c>
    </row>
    <row r="86">
      <c r="A86" s="14" t="inlineStr">
        <is>
          <t>PED-1085</t>
        </is>
      </c>
      <c r="B86" s="15" t="n">
        <v>46106</v>
      </c>
      <c r="C86" s="14" t="inlineStr">
        <is>
          <t>2026-03</t>
        </is>
      </c>
      <c r="D86" s="10" t="inlineStr">
        <is>
          <t>Centro-Oeste</t>
        </is>
      </c>
      <c r="E86" s="10" t="inlineStr">
        <is>
          <t>Mariana Oliveira</t>
        </is>
      </c>
      <c r="F86" s="10" t="inlineStr">
        <is>
          <t>Acessórios</t>
        </is>
      </c>
      <c r="G86" s="10" t="inlineStr">
        <is>
          <t>Mouse Vertical</t>
        </is>
      </c>
      <c r="H86" s="16" t="n">
        <v>4</v>
      </c>
      <c r="I86" s="17" t="n">
        <v>220</v>
      </c>
      <c r="J86" s="17">
        <f>H86*I86</f>
        <v/>
      </c>
      <c r="K86" s="17">
        <f>H86*120</f>
        <v/>
      </c>
      <c r="L86" s="17">
        <f>J86-K86</f>
        <v/>
      </c>
    </row>
    <row r="87">
      <c r="A87" s="14" t="inlineStr">
        <is>
          <t>PED-1086</t>
        </is>
      </c>
      <c r="B87" s="15" t="n">
        <v>46130</v>
      </c>
      <c r="C87" s="14" t="inlineStr">
        <is>
          <t>2026-04</t>
        </is>
      </c>
      <c r="D87" s="10" t="inlineStr">
        <is>
          <t>Centro-Oeste</t>
        </is>
      </c>
      <c r="E87" s="10" t="inlineStr">
        <is>
          <t>Carlos Souza</t>
        </is>
      </c>
      <c r="F87" s="10" t="inlineStr">
        <is>
          <t>Acessórios</t>
        </is>
      </c>
      <c r="G87" s="10" t="inlineStr">
        <is>
          <t>Webcam Full HD</t>
        </is>
      </c>
      <c r="H87" s="16" t="n">
        <v>7</v>
      </c>
      <c r="I87" s="17" t="n">
        <v>380</v>
      </c>
      <c r="J87" s="17">
        <f>H87*I87</f>
        <v/>
      </c>
      <c r="K87" s="17">
        <f>H87*220</f>
        <v/>
      </c>
      <c r="L87" s="17">
        <f>J87-K87</f>
        <v/>
      </c>
    </row>
    <row r="88">
      <c r="A88" s="14" t="inlineStr">
        <is>
          <t>PED-1087</t>
        </is>
      </c>
      <c r="B88" s="15" t="n">
        <v>46163</v>
      </c>
      <c r="C88" s="14" t="inlineStr">
        <is>
          <t>2026-05</t>
        </is>
      </c>
      <c r="D88" s="10" t="inlineStr">
        <is>
          <t>Sudeste</t>
        </is>
      </c>
      <c r="E88" s="10" t="inlineStr">
        <is>
          <t>Mariana Oliveira</t>
        </is>
      </c>
      <c r="F88" s="10" t="inlineStr">
        <is>
          <t>Móveis</t>
        </is>
      </c>
      <c r="G88" s="10" t="inlineStr">
        <is>
          <t>Cadeira Ergonômica</t>
        </is>
      </c>
      <c r="H88" s="16" t="n">
        <v>7</v>
      </c>
      <c r="I88" s="17" t="n">
        <v>1200</v>
      </c>
      <c r="J88" s="17">
        <f>H88*I88</f>
        <v/>
      </c>
      <c r="K88" s="17">
        <f>H88*750</f>
        <v/>
      </c>
      <c r="L88" s="17">
        <f>J88-K88</f>
        <v/>
      </c>
    </row>
    <row r="89">
      <c r="A89" s="14" t="inlineStr">
        <is>
          <t>PED-1088</t>
        </is>
      </c>
      <c r="B89" s="15" t="n">
        <v>46224</v>
      </c>
      <c r="C89" s="14" t="inlineStr">
        <is>
          <t>2026-07</t>
        </is>
      </c>
      <c r="D89" s="10" t="inlineStr">
        <is>
          <t>Norte</t>
        </is>
      </c>
      <c r="E89" s="10" t="inlineStr">
        <is>
          <t>Beatriz Costa</t>
        </is>
      </c>
      <c r="F89" s="10" t="inlineStr">
        <is>
          <t>Acessórios</t>
        </is>
      </c>
      <c r="G89" s="10" t="inlineStr">
        <is>
          <t>Webcam Full HD</t>
        </is>
      </c>
      <c r="H89" s="16" t="n">
        <v>8</v>
      </c>
      <c r="I89" s="17" t="n">
        <v>380</v>
      </c>
      <c r="J89" s="17">
        <f>H89*I89</f>
        <v/>
      </c>
      <c r="K89" s="17">
        <f>H89*220</f>
        <v/>
      </c>
      <c r="L89" s="17">
        <f>J89-K89</f>
        <v/>
      </c>
    </row>
    <row r="90">
      <c r="A90" s="14" t="inlineStr">
        <is>
          <t>PED-1089</t>
        </is>
      </c>
      <c r="B90" s="15" t="n">
        <v>46136</v>
      </c>
      <c r="C90" s="14" t="inlineStr">
        <is>
          <t>2026-04</t>
        </is>
      </c>
      <c r="D90" s="10" t="inlineStr">
        <is>
          <t>Centro-Oeste</t>
        </is>
      </c>
      <c r="E90" s="10" t="inlineStr">
        <is>
          <t>Carlos Souza</t>
        </is>
      </c>
      <c r="F90" s="10" t="inlineStr">
        <is>
          <t>Acessórios</t>
        </is>
      </c>
      <c r="G90" s="10" t="inlineStr">
        <is>
          <t>Suporte Monitor</t>
        </is>
      </c>
      <c r="H90" s="16" t="n">
        <v>3</v>
      </c>
      <c r="I90" s="17" t="n">
        <v>150</v>
      </c>
      <c r="J90" s="17">
        <f>H90*I90</f>
        <v/>
      </c>
      <c r="K90" s="17">
        <f>H90*80</f>
        <v/>
      </c>
      <c r="L90" s="17">
        <f>J90-K90</f>
        <v/>
      </c>
    </row>
    <row r="91">
      <c r="A91" s="14" t="inlineStr">
        <is>
          <t>PED-1090</t>
        </is>
      </c>
      <c r="B91" s="15" t="n">
        <v>46191</v>
      </c>
      <c r="C91" s="14" t="inlineStr">
        <is>
          <t>2026-06</t>
        </is>
      </c>
      <c r="D91" s="10" t="inlineStr">
        <is>
          <t>Sudeste</t>
        </is>
      </c>
      <c r="E91" s="10" t="inlineStr">
        <is>
          <t>Mariana Oliveira</t>
        </is>
      </c>
      <c r="F91" s="10" t="inlineStr">
        <is>
          <t>Acessórios</t>
        </is>
      </c>
      <c r="G91" s="10" t="inlineStr">
        <is>
          <t>Webcam Full HD</t>
        </is>
      </c>
      <c r="H91" s="16" t="n">
        <v>2</v>
      </c>
      <c r="I91" s="17" t="n">
        <v>380</v>
      </c>
      <c r="J91" s="17">
        <f>H91*I91</f>
        <v/>
      </c>
      <c r="K91" s="17">
        <f>H91*220</f>
        <v/>
      </c>
      <c r="L91" s="17">
        <f>J91-K91</f>
        <v/>
      </c>
    </row>
    <row r="92">
      <c r="A92" s="14" t="inlineStr">
        <is>
          <t>PED-1091</t>
        </is>
      </c>
      <c r="B92" s="15" t="n">
        <v>46232</v>
      </c>
      <c r="C92" s="14" t="inlineStr">
        <is>
          <t>2026-07</t>
        </is>
      </c>
      <c r="D92" s="10" t="inlineStr">
        <is>
          <t>Sul</t>
        </is>
      </c>
      <c r="E92" s="10" t="inlineStr">
        <is>
          <t>Mariana Oliveira</t>
        </is>
      </c>
      <c r="F92" s="10" t="inlineStr">
        <is>
          <t>Eletrônicos</t>
        </is>
      </c>
      <c r="G92" s="10" t="inlineStr">
        <is>
          <t>Smartphone 5G</t>
        </is>
      </c>
      <c r="H92" s="16" t="n">
        <v>3</v>
      </c>
      <c r="I92" s="17" t="n">
        <v>2800</v>
      </c>
      <c r="J92" s="17">
        <f>H92*I92</f>
        <v/>
      </c>
      <c r="K92" s="17">
        <f>H92*1900</f>
        <v/>
      </c>
      <c r="L92" s="17">
        <f>J92-K92</f>
        <v/>
      </c>
    </row>
    <row r="93">
      <c r="A93" s="14" t="inlineStr">
        <is>
          <t>PED-1092</t>
        </is>
      </c>
      <c r="B93" s="15" t="n">
        <v>46029</v>
      </c>
      <c r="C93" s="14" t="inlineStr">
        <is>
          <t>2026-01</t>
        </is>
      </c>
      <c r="D93" s="10" t="inlineStr">
        <is>
          <t>Sudeste</t>
        </is>
      </c>
      <c r="E93" s="10" t="inlineStr">
        <is>
          <t>Carlos Souza</t>
        </is>
      </c>
      <c r="F93" s="10" t="inlineStr">
        <is>
          <t>Móveis</t>
        </is>
      </c>
      <c r="G93" s="10" t="inlineStr">
        <is>
          <t>Estante de Livros</t>
        </is>
      </c>
      <c r="H93" s="16" t="n">
        <v>2</v>
      </c>
      <c r="I93" s="17" t="n">
        <v>500</v>
      </c>
      <c r="J93" s="17">
        <f>H93*I93</f>
        <v/>
      </c>
      <c r="K93" s="17">
        <f>H93*300</f>
        <v/>
      </c>
      <c r="L93" s="17">
        <f>J93-K93</f>
        <v/>
      </c>
    </row>
    <row r="94">
      <c r="A94" s="14" t="inlineStr">
        <is>
          <t>PED-1093</t>
        </is>
      </c>
      <c r="B94" s="15" t="n">
        <v>46139</v>
      </c>
      <c r="C94" s="14" t="inlineStr">
        <is>
          <t>2026-04</t>
        </is>
      </c>
      <c r="D94" s="10" t="inlineStr">
        <is>
          <t>Centro-Oeste</t>
        </is>
      </c>
      <c r="E94" s="10" t="inlineStr">
        <is>
          <t>Beatriz Costa</t>
        </is>
      </c>
      <c r="F94" s="10" t="inlineStr">
        <is>
          <t>Eletrônicos</t>
        </is>
      </c>
      <c r="G94" s="10" t="inlineStr">
        <is>
          <t>Headset Sem Fio</t>
        </is>
      </c>
      <c r="H94" s="16" t="n">
        <v>8</v>
      </c>
      <c r="I94" s="17" t="n">
        <v>450</v>
      </c>
      <c r="J94" s="17">
        <f>H94*I94</f>
        <v/>
      </c>
      <c r="K94" s="17">
        <f>H94*250</f>
        <v/>
      </c>
      <c r="L94" s="17">
        <f>J94-K94</f>
        <v/>
      </c>
    </row>
    <row r="95">
      <c r="A95" s="14" t="inlineStr">
        <is>
          <t>PED-1094</t>
        </is>
      </c>
      <c r="B95" s="15" t="n">
        <v>46125</v>
      </c>
      <c r="C95" s="14" t="inlineStr">
        <is>
          <t>2026-04</t>
        </is>
      </c>
      <c r="D95" s="10" t="inlineStr">
        <is>
          <t>Sul</t>
        </is>
      </c>
      <c r="E95" s="10" t="inlineStr">
        <is>
          <t>Carlos Souza</t>
        </is>
      </c>
      <c r="F95" s="10" t="inlineStr">
        <is>
          <t>Acessórios</t>
        </is>
      </c>
      <c r="G95" s="10" t="inlineStr">
        <is>
          <t>Teclado Mecânico</t>
        </is>
      </c>
      <c r="H95" s="16" t="n">
        <v>2</v>
      </c>
      <c r="I95" s="17" t="n">
        <v>350</v>
      </c>
      <c r="J95" s="17">
        <f>H95*I95</f>
        <v/>
      </c>
      <c r="K95" s="17">
        <f>H95*200</f>
        <v/>
      </c>
      <c r="L95" s="17">
        <f>J95-K95</f>
        <v/>
      </c>
    </row>
    <row r="96">
      <c r="A96" s="14" t="inlineStr">
        <is>
          <t>PED-1095</t>
        </is>
      </c>
      <c r="B96" s="15" t="n">
        <v>46222</v>
      </c>
      <c r="C96" s="14" t="inlineStr">
        <is>
          <t>2026-07</t>
        </is>
      </c>
      <c r="D96" s="10" t="inlineStr">
        <is>
          <t>Centro-Oeste</t>
        </is>
      </c>
      <c r="E96" s="10" t="inlineStr">
        <is>
          <t>Carlos Souza</t>
        </is>
      </c>
      <c r="F96" s="10" t="inlineStr">
        <is>
          <t>Eletrônicos</t>
        </is>
      </c>
      <c r="G96" s="10" t="inlineStr">
        <is>
          <t>Headset Sem Fio</t>
        </is>
      </c>
      <c r="H96" s="16" t="n">
        <v>1</v>
      </c>
      <c r="I96" s="17" t="n">
        <v>450</v>
      </c>
      <c r="J96" s="17">
        <f>H96*I96</f>
        <v/>
      </c>
      <c r="K96" s="17">
        <f>H96*250</f>
        <v/>
      </c>
      <c r="L96" s="17">
        <f>J96-K96</f>
        <v/>
      </c>
    </row>
    <row r="97">
      <c r="A97" s="14" t="inlineStr">
        <is>
          <t>PED-1096</t>
        </is>
      </c>
      <c r="B97" s="15" t="n">
        <v>46165</v>
      </c>
      <c r="C97" s="14" t="inlineStr">
        <is>
          <t>2026-05</t>
        </is>
      </c>
      <c r="D97" s="10" t="inlineStr">
        <is>
          <t>Sul</t>
        </is>
      </c>
      <c r="E97" s="10" t="inlineStr">
        <is>
          <t>Ana Silva</t>
        </is>
      </c>
      <c r="F97" s="10" t="inlineStr">
        <is>
          <t>Móveis</t>
        </is>
      </c>
      <c r="G97" s="10" t="inlineStr">
        <is>
          <t>Cadeira Ergonômica</t>
        </is>
      </c>
      <c r="H97" s="16" t="n">
        <v>8</v>
      </c>
      <c r="I97" s="17" t="n">
        <v>1200</v>
      </c>
      <c r="J97" s="17">
        <f>H97*I97</f>
        <v/>
      </c>
      <c r="K97" s="17">
        <f>H97*750</f>
        <v/>
      </c>
      <c r="L97" s="17">
        <f>J97-K97</f>
        <v/>
      </c>
    </row>
    <row r="98">
      <c r="A98" s="14" t="inlineStr">
        <is>
          <t>PED-1097</t>
        </is>
      </c>
      <c r="B98" s="15" t="n">
        <v>46193</v>
      </c>
      <c r="C98" s="14" t="inlineStr">
        <is>
          <t>2026-06</t>
        </is>
      </c>
      <c r="D98" s="10" t="inlineStr">
        <is>
          <t>Norte</t>
        </is>
      </c>
      <c r="E98" s="10" t="inlineStr">
        <is>
          <t>Beatriz Costa</t>
        </is>
      </c>
      <c r="F98" s="10" t="inlineStr">
        <is>
          <t>Acessórios</t>
        </is>
      </c>
      <c r="G98" s="10" t="inlineStr">
        <is>
          <t>Webcam Full HD</t>
        </is>
      </c>
      <c r="H98" s="16" t="n">
        <v>8</v>
      </c>
      <c r="I98" s="17" t="n">
        <v>380</v>
      </c>
      <c r="J98" s="17">
        <f>H98*I98</f>
        <v/>
      </c>
      <c r="K98" s="17">
        <f>H98*220</f>
        <v/>
      </c>
      <c r="L98" s="17">
        <f>J98-K98</f>
        <v/>
      </c>
    </row>
    <row r="99">
      <c r="A99" s="14" t="inlineStr">
        <is>
          <t>PED-1098</t>
        </is>
      </c>
      <c r="B99" s="15" t="n">
        <v>46179</v>
      </c>
      <c r="C99" s="14" t="inlineStr">
        <is>
          <t>2026-06</t>
        </is>
      </c>
      <c r="D99" s="10" t="inlineStr">
        <is>
          <t>Norte</t>
        </is>
      </c>
      <c r="E99" s="10" t="inlineStr">
        <is>
          <t>Lucas Ferreira</t>
        </is>
      </c>
      <c r="F99" s="10" t="inlineStr">
        <is>
          <t>Acessórios</t>
        </is>
      </c>
      <c r="G99" s="10" t="inlineStr">
        <is>
          <t>Suporte Monitor</t>
        </is>
      </c>
      <c r="H99" s="16" t="n">
        <v>3</v>
      </c>
      <c r="I99" s="17" t="n">
        <v>150</v>
      </c>
      <c r="J99" s="17">
        <f>H99*I99</f>
        <v/>
      </c>
      <c r="K99" s="17">
        <f>H99*80</f>
        <v/>
      </c>
      <c r="L99" s="17">
        <f>J99-K99</f>
        <v/>
      </c>
    </row>
    <row r="100">
      <c r="A100" s="14" t="inlineStr">
        <is>
          <t>PED-1099</t>
        </is>
      </c>
      <c r="B100" s="15" t="n">
        <v>46213</v>
      </c>
      <c r="C100" s="14" t="inlineStr">
        <is>
          <t>2026-07</t>
        </is>
      </c>
      <c r="D100" s="10" t="inlineStr">
        <is>
          <t>Centro-Oeste</t>
        </is>
      </c>
      <c r="E100" s="10" t="inlineStr">
        <is>
          <t>Lucas Ferreira</t>
        </is>
      </c>
      <c r="F100" s="10" t="inlineStr">
        <is>
          <t>Móveis</t>
        </is>
      </c>
      <c r="G100" s="10" t="inlineStr">
        <is>
          <t>Cadeira Ergonômica</t>
        </is>
      </c>
      <c r="H100" s="16" t="n">
        <v>5</v>
      </c>
      <c r="I100" s="17" t="n">
        <v>1200</v>
      </c>
      <c r="J100" s="17">
        <f>H100*I100</f>
        <v/>
      </c>
      <c r="K100" s="17">
        <f>H100*750</f>
        <v/>
      </c>
      <c r="L100" s="17">
        <f>J100-K100</f>
        <v/>
      </c>
    </row>
    <row r="101">
      <c r="A101" s="14" t="inlineStr">
        <is>
          <t>PED-1100</t>
        </is>
      </c>
      <c r="B101" s="15" t="n">
        <v>46219</v>
      </c>
      <c r="C101" s="14" t="inlineStr">
        <is>
          <t>2026-07</t>
        </is>
      </c>
      <c r="D101" s="10" t="inlineStr">
        <is>
          <t>Norte</t>
        </is>
      </c>
      <c r="E101" s="10" t="inlineStr">
        <is>
          <t>Lucas Ferreira</t>
        </is>
      </c>
      <c r="F101" s="10" t="inlineStr">
        <is>
          <t>Acessórios</t>
        </is>
      </c>
      <c r="G101" s="10" t="inlineStr">
        <is>
          <t>Mouse Vertical</t>
        </is>
      </c>
      <c r="H101" s="16" t="n">
        <v>5</v>
      </c>
      <c r="I101" s="17" t="n">
        <v>220</v>
      </c>
      <c r="J101" s="17">
        <f>H101*I101</f>
        <v/>
      </c>
      <c r="K101" s="17">
        <f>H101*120</f>
        <v/>
      </c>
      <c r="L101" s="17">
        <f>J101-K101</f>
        <v/>
      </c>
    </row>
    <row r="102">
      <c r="A102" s="14" t="inlineStr">
        <is>
          <t>PED-1101</t>
        </is>
      </c>
      <c r="B102" s="15" t="n">
        <v>46135</v>
      </c>
      <c r="C102" s="14" t="inlineStr">
        <is>
          <t>2026-04</t>
        </is>
      </c>
      <c r="D102" s="10" t="inlineStr">
        <is>
          <t>Sudeste</t>
        </is>
      </c>
      <c r="E102" s="10" t="inlineStr">
        <is>
          <t>Mariana Oliveira</t>
        </is>
      </c>
      <c r="F102" s="10" t="inlineStr">
        <is>
          <t>Eletrônicos</t>
        </is>
      </c>
      <c r="G102" s="10" t="inlineStr">
        <is>
          <t>Monitor 27' 144Hz</t>
        </is>
      </c>
      <c r="H102" s="16" t="n">
        <v>6</v>
      </c>
      <c r="I102" s="17" t="n">
        <v>1600</v>
      </c>
      <c r="J102" s="17">
        <f>H102*I102</f>
        <v/>
      </c>
      <c r="K102" s="17">
        <f>H102*1100</f>
        <v/>
      </c>
      <c r="L102" s="17">
        <f>J102-K102</f>
        <v/>
      </c>
    </row>
    <row r="103">
      <c r="A103" s="14" t="inlineStr">
        <is>
          <t>PED-1102</t>
        </is>
      </c>
      <c r="B103" s="15" t="n">
        <v>46104</v>
      </c>
      <c r="C103" s="14" t="inlineStr">
        <is>
          <t>2026-03</t>
        </is>
      </c>
      <c r="D103" s="10" t="inlineStr">
        <is>
          <t>Norte</t>
        </is>
      </c>
      <c r="E103" s="10" t="inlineStr">
        <is>
          <t>Ana Silva</t>
        </is>
      </c>
      <c r="F103" s="10" t="inlineStr">
        <is>
          <t>Eletrônicos</t>
        </is>
      </c>
      <c r="G103" s="10" t="inlineStr">
        <is>
          <t>Smartphone 5G</t>
        </is>
      </c>
      <c r="H103" s="16" t="n">
        <v>4</v>
      </c>
      <c r="I103" s="17" t="n">
        <v>2800</v>
      </c>
      <c r="J103" s="17">
        <f>H103*I103</f>
        <v/>
      </c>
      <c r="K103" s="17">
        <f>H103*1900</f>
        <v/>
      </c>
      <c r="L103" s="17">
        <f>J103-K103</f>
        <v/>
      </c>
    </row>
    <row r="104">
      <c r="A104" s="14" t="inlineStr">
        <is>
          <t>PED-1103</t>
        </is>
      </c>
      <c r="B104" s="15" t="n">
        <v>46121</v>
      </c>
      <c r="C104" s="14" t="inlineStr">
        <is>
          <t>2026-04</t>
        </is>
      </c>
      <c r="D104" s="10" t="inlineStr">
        <is>
          <t>Sul</t>
        </is>
      </c>
      <c r="E104" s="10" t="inlineStr">
        <is>
          <t>Carlos Souza</t>
        </is>
      </c>
      <c r="F104" s="10" t="inlineStr">
        <is>
          <t>Eletrônicos</t>
        </is>
      </c>
      <c r="G104" s="10" t="inlineStr">
        <is>
          <t>Headset Sem Fio</t>
        </is>
      </c>
      <c r="H104" s="16" t="n">
        <v>7</v>
      </c>
      <c r="I104" s="17" t="n">
        <v>450</v>
      </c>
      <c r="J104" s="17">
        <f>H104*I104</f>
        <v/>
      </c>
      <c r="K104" s="17">
        <f>H104*250</f>
        <v/>
      </c>
      <c r="L104" s="17">
        <f>J104-K104</f>
        <v/>
      </c>
    </row>
    <row r="105">
      <c r="A105" s="14" t="inlineStr">
        <is>
          <t>PED-1104</t>
        </is>
      </c>
      <c r="B105" s="15" t="n">
        <v>46107</v>
      </c>
      <c r="C105" s="14" t="inlineStr">
        <is>
          <t>2026-03</t>
        </is>
      </c>
      <c r="D105" s="10" t="inlineStr">
        <is>
          <t>Norte</t>
        </is>
      </c>
      <c r="E105" s="10" t="inlineStr">
        <is>
          <t>Lucas Ferreira</t>
        </is>
      </c>
      <c r="F105" s="10" t="inlineStr">
        <is>
          <t>Móveis</t>
        </is>
      </c>
      <c r="G105" s="10" t="inlineStr">
        <is>
          <t>Cadeira Ergonômica</t>
        </is>
      </c>
      <c r="H105" s="16" t="n">
        <v>4</v>
      </c>
      <c r="I105" s="17" t="n">
        <v>1200</v>
      </c>
      <c r="J105" s="17">
        <f>H105*I105</f>
        <v/>
      </c>
      <c r="K105" s="17">
        <f>H105*750</f>
        <v/>
      </c>
      <c r="L105" s="17">
        <f>J105-K105</f>
        <v/>
      </c>
    </row>
    <row r="106">
      <c r="A106" s="14" t="inlineStr">
        <is>
          <t>PED-1105</t>
        </is>
      </c>
      <c r="B106" s="15" t="n">
        <v>46236</v>
      </c>
      <c r="C106" s="14" t="inlineStr">
        <is>
          <t>2026-08</t>
        </is>
      </c>
      <c r="D106" s="10" t="inlineStr">
        <is>
          <t>Centro-Oeste</t>
        </is>
      </c>
      <c r="E106" s="10" t="inlineStr">
        <is>
          <t>Lucas Ferreira</t>
        </is>
      </c>
      <c r="F106" s="10" t="inlineStr">
        <is>
          <t>Acessórios</t>
        </is>
      </c>
      <c r="G106" s="10" t="inlineStr">
        <is>
          <t>Teclado Mecânico</t>
        </is>
      </c>
      <c r="H106" s="16" t="n">
        <v>10</v>
      </c>
      <c r="I106" s="17" t="n">
        <v>350</v>
      </c>
      <c r="J106" s="17">
        <f>H106*I106</f>
        <v/>
      </c>
      <c r="K106" s="17">
        <f>H106*200</f>
        <v/>
      </c>
      <c r="L106" s="17">
        <f>J106-K106</f>
        <v/>
      </c>
    </row>
    <row r="107">
      <c r="A107" s="14" t="inlineStr">
        <is>
          <t>PED-1106</t>
        </is>
      </c>
      <c r="B107" s="15" t="n">
        <v>46120</v>
      </c>
      <c r="C107" s="14" t="inlineStr">
        <is>
          <t>2026-04</t>
        </is>
      </c>
      <c r="D107" s="10" t="inlineStr">
        <is>
          <t>Centro-Oeste</t>
        </is>
      </c>
      <c r="E107" s="10" t="inlineStr">
        <is>
          <t>Ana Silva</t>
        </is>
      </c>
      <c r="F107" s="10" t="inlineStr">
        <is>
          <t>Móveis</t>
        </is>
      </c>
      <c r="G107" s="10" t="inlineStr">
        <is>
          <t>Mesa Escritório L</t>
        </is>
      </c>
      <c r="H107" s="16" t="n">
        <v>7</v>
      </c>
      <c r="I107" s="17" t="n">
        <v>950</v>
      </c>
      <c r="J107" s="17">
        <f>H107*I107</f>
        <v/>
      </c>
      <c r="K107" s="17">
        <f>H107*600</f>
        <v/>
      </c>
      <c r="L107" s="17">
        <f>J107-K107</f>
        <v/>
      </c>
    </row>
    <row r="108">
      <c r="A108" s="14" t="inlineStr">
        <is>
          <t>PED-1107</t>
        </is>
      </c>
      <c r="B108" s="15" t="n">
        <v>46241</v>
      </c>
      <c r="C108" s="14" t="inlineStr">
        <is>
          <t>2026-08</t>
        </is>
      </c>
      <c r="D108" s="10" t="inlineStr">
        <is>
          <t>Centro-Oeste</t>
        </is>
      </c>
      <c r="E108" s="10" t="inlineStr">
        <is>
          <t>Beatriz Costa</t>
        </is>
      </c>
      <c r="F108" s="10" t="inlineStr">
        <is>
          <t>Acessórios</t>
        </is>
      </c>
      <c r="G108" s="10" t="inlineStr">
        <is>
          <t>Mouse Vertical</t>
        </is>
      </c>
      <c r="H108" s="16" t="n">
        <v>8</v>
      </c>
      <c r="I108" s="17" t="n">
        <v>220</v>
      </c>
      <c r="J108" s="17">
        <f>H108*I108</f>
        <v/>
      </c>
      <c r="K108" s="17">
        <f>H108*120</f>
        <v/>
      </c>
      <c r="L108" s="17">
        <f>J108-K108</f>
        <v/>
      </c>
    </row>
    <row r="109">
      <c r="A109" s="14" t="inlineStr">
        <is>
          <t>PED-1108</t>
        </is>
      </c>
      <c r="B109" s="15" t="n">
        <v>46079</v>
      </c>
      <c r="C109" s="14" t="inlineStr">
        <is>
          <t>2026-02</t>
        </is>
      </c>
      <c r="D109" s="10" t="inlineStr">
        <is>
          <t>Nordeste</t>
        </is>
      </c>
      <c r="E109" s="10" t="inlineStr">
        <is>
          <t>Lucas Ferreira</t>
        </is>
      </c>
      <c r="F109" s="10" t="inlineStr">
        <is>
          <t>Móveis</t>
        </is>
      </c>
      <c r="G109" s="10" t="inlineStr">
        <is>
          <t>Cadeira Ergonômica</t>
        </is>
      </c>
      <c r="H109" s="16" t="n">
        <v>7</v>
      </c>
      <c r="I109" s="17" t="n">
        <v>1200</v>
      </c>
      <c r="J109" s="17">
        <f>H109*I109</f>
        <v/>
      </c>
      <c r="K109" s="17">
        <f>H109*750</f>
        <v/>
      </c>
      <c r="L109" s="17">
        <f>J109-K109</f>
        <v/>
      </c>
    </row>
    <row r="110">
      <c r="A110" s="14" t="inlineStr">
        <is>
          <t>PED-1109</t>
        </is>
      </c>
      <c r="B110" s="15" t="n">
        <v>46109</v>
      </c>
      <c r="C110" s="14" t="inlineStr">
        <is>
          <t>2026-03</t>
        </is>
      </c>
      <c r="D110" s="10" t="inlineStr">
        <is>
          <t>Centro-Oeste</t>
        </is>
      </c>
      <c r="E110" s="10" t="inlineStr">
        <is>
          <t>Carlos Souza</t>
        </is>
      </c>
      <c r="F110" s="10" t="inlineStr">
        <is>
          <t>Móveis</t>
        </is>
      </c>
      <c r="G110" s="10" t="inlineStr">
        <is>
          <t>Cadeira Ergonômica</t>
        </is>
      </c>
      <c r="H110" s="16" t="n">
        <v>10</v>
      </c>
      <c r="I110" s="17" t="n">
        <v>1200</v>
      </c>
      <c r="J110" s="17">
        <f>H110*I110</f>
        <v/>
      </c>
      <c r="K110" s="17">
        <f>H110*750</f>
        <v/>
      </c>
      <c r="L110" s="17">
        <f>J110-K110</f>
        <v/>
      </c>
    </row>
    <row r="111">
      <c r="A111" s="14" t="inlineStr">
        <is>
          <t>PED-1110</t>
        </is>
      </c>
      <c r="B111" s="15" t="n">
        <v>46159</v>
      </c>
      <c r="C111" s="14" t="inlineStr">
        <is>
          <t>2026-05</t>
        </is>
      </c>
      <c r="D111" s="10" t="inlineStr">
        <is>
          <t>Sudeste</t>
        </is>
      </c>
      <c r="E111" s="10" t="inlineStr">
        <is>
          <t>Lucas Ferreira</t>
        </is>
      </c>
      <c r="F111" s="10" t="inlineStr">
        <is>
          <t>Acessórios</t>
        </is>
      </c>
      <c r="G111" s="10" t="inlineStr">
        <is>
          <t>Teclado Mecânico</t>
        </is>
      </c>
      <c r="H111" s="16" t="n">
        <v>2</v>
      </c>
      <c r="I111" s="17" t="n">
        <v>350</v>
      </c>
      <c r="J111" s="17">
        <f>H111*I111</f>
        <v/>
      </c>
      <c r="K111" s="17">
        <f>H111*200</f>
        <v/>
      </c>
      <c r="L111" s="17">
        <f>J111-K111</f>
        <v/>
      </c>
    </row>
    <row r="112">
      <c r="A112" s="14" t="inlineStr">
        <is>
          <t>PED-1111</t>
        </is>
      </c>
      <c r="B112" s="15" t="n">
        <v>46187</v>
      </c>
      <c r="C112" s="14" t="inlineStr">
        <is>
          <t>2026-06</t>
        </is>
      </c>
      <c r="D112" s="10" t="inlineStr">
        <is>
          <t>Centro-Oeste</t>
        </is>
      </c>
      <c r="E112" s="10" t="inlineStr">
        <is>
          <t>Carlos Souza</t>
        </is>
      </c>
      <c r="F112" s="10" t="inlineStr">
        <is>
          <t>Móveis</t>
        </is>
      </c>
      <c r="G112" s="10" t="inlineStr">
        <is>
          <t>Cadeira Ergonômica</t>
        </is>
      </c>
      <c r="H112" s="16" t="n">
        <v>1</v>
      </c>
      <c r="I112" s="17" t="n">
        <v>1200</v>
      </c>
      <c r="J112" s="17">
        <f>H112*I112</f>
        <v/>
      </c>
      <c r="K112" s="17">
        <f>H112*750</f>
        <v/>
      </c>
      <c r="L112" s="17">
        <f>J112-K112</f>
        <v/>
      </c>
    </row>
    <row r="113">
      <c r="A113" s="14" t="inlineStr">
        <is>
          <t>PED-1112</t>
        </is>
      </c>
      <c r="B113" s="15" t="n">
        <v>46089</v>
      </c>
      <c r="C113" s="14" t="inlineStr">
        <is>
          <t>2026-03</t>
        </is>
      </c>
      <c r="D113" s="10" t="inlineStr">
        <is>
          <t>Centro-Oeste</t>
        </is>
      </c>
      <c r="E113" s="10" t="inlineStr">
        <is>
          <t>Mariana Oliveira</t>
        </is>
      </c>
      <c r="F113" s="10" t="inlineStr">
        <is>
          <t>Eletrônicos</t>
        </is>
      </c>
      <c r="G113" s="10" t="inlineStr">
        <is>
          <t>Headset Sem Fio</t>
        </is>
      </c>
      <c r="H113" s="16" t="n">
        <v>6</v>
      </c>
      <c r="I113" s="17" t="n">
        <v>450</v>
      </c>
      <c r="J113" s="17">
        <f>H113*I113</f>
        <v/>
      </c>
      <c r="K113" s="17">
        <f>H113*250</f>
        <v/>
      </c>
      <c r="L113" s="17">
        <f>J113-K113</f>
        <v/>
      </c>
    </row>
    <row r="114">
      <c r="A114" s="14" t="inlineStr">
        <is>
          <t>PED-1113</t>
        </is>
      </c>
      <c r="B114" s="15" t="n">
        <v>46109</v>
      </c>
      <c r="C114" s="14" t="inlineStr">
        <is>
          <t>2026-03</t>
        </is>
      </c>
      <c r="D114" s="10" t="inlineStr">
        <is>
          <t>Centro-Oeste</t>
        </is>
      </c>
      <c r="E114" s="10" t="inlineStr">
        <is>
          <t>Mariana Oliveira</t>
        </is>
      </c>
      <c r="F114" s="10" t="inlineStr">
        <is>
          <t>Móveis</t>
        </is>
      </c>
      <c r="G114" s="10" t="inlineStr">
        <is>
          <t>Mesa Escritório L</t>
        </is>
      </c>
      <c r="H114" s="16" t="n">
        <v>2</v>
      </c>
      <c r="I114" s="17" t="n">
        <v>950</v>
      </c>
      <c r="J114" s="17">
        <f>H114*I114</f>
        <v/>
      </c>
      <c r="K114" s="17">
        <f>H114*600</f>
        <v/>
      </c>
      <c r="L114" s="17">
        <f>J114-K114</f>
        <v/>
      </c>
    </row>
    <row r="115">
      <c r="A115" s="14" t="inlineStr">
        <is>
          <t>PED-1114</t>
        </is>
      </c>
      <c r="B115" s="15" t="n">
        <v>46143</v>
      </c>
      <c r="C115" s="14" t="inlineStr">
        <is>
          <t>2026-05</t>
        </is>
      </c>
      <c r="D115" s="10" t="inlineStr">
        <is>
          <t>Sudeste</t>
        </is>
      </c>
      <c r="E115" s="10" t="inlineStr">
        <is>
          <t>Beatriz Costa</t>
        </is>
      </c>
      <c r="F115" s="10" t="inlineStr">
        <is>
          <t>Eletrônicos</t>
        </is>
      </c>
      <c r="G115" s="10" t="inlineStr">
        <is>
          <t>Monitor 27' 144Hz</t>
        </is>
      </c>
      <c r="H115" s="16" t="n">
        <v>4</v>
      </c>
      <c r="I115" s="17" t="n">
        <v>1600</v>
      </c>
      <c r="J115" s="17">
        <f>H115*I115</f>
        <v/>
      </c>
      <c r="K115" s="17">
        <f>H115*1100</f>
        <v/>
      </c>
      <c r="L115" s="17">
        <f>J115-K115</f>
        <v/>
      </c>
    </row>
    <row r="116">
      <c r="A116" s="14" t="inlineStr">
        <is>
          <t>PED-1115</t>
        </is>
      </c>
      <c r="B116" s="15" t="n">
        <v>46189</v>
      </c>
      <c r="C116" s="14" t="inlineStr">
        <is>
          <t>2026-06</t>
        </is>
      </c>
      <c r="D116" s="10" t="inlineStr">
        <is>
          <t>Sudeste</t>
        </is>
      </c>
      <c r="E116" s="10" t="inlineStr">
        <is>
          <t>Ana Silva</t>
        </is>
      </c>
      <c r="F116" s="10" t="inlineStr">
        <is>
          <t>Eletrônicos</t>
        </is>
      </c>
      <c r="G116" s="10" t="inlineStr">
        <is>
          <t>Smartphone 5G</t>
        </is>
      </c>
      <c r="H116" s="16" t="n">
        <v>4</v>
      </c>
      <c r="I116" s="17" t="n">
        <v>2800</v>
      </c>
      <c r="J116" s="17">
        <f>H116*I116</f>
        <v/>
      </c>
      <c r="K116" s="17">
        <f>H116*1900</f>
        <v/>
      </c>
      <c r="L116" s="17">
        <f>J116-K116</f>
        <v/>
      </c>
    </row>
    <row r="117">
      <c r="A117" s="14" t="inlineStr">
        <is>
          <t>PED-1116</t>
        </is>
      </c>
      <c r="B117" s="15" t="n">
        <v>46237</v>
      </c>
      <c r="C117" s="14" t="inlineStr">
        <is>
          <t>2026-08</t>
        </is>
      </c>
      <c r="D117" s="10" t="inlineStr">
        <is>
          <t>Sudeste</t>
        </is>
      </c>
      <c r="E117" s="10" t="inlineStr">
        <is>
          <t>Beatriz Costa</t>
        </is>
      </c>
      <c r="F117" s="10" t="inlineStr">
        <is>
          <t>Eletrônicos</t>
        </is>
      </c>
      <c r="G117" s="10" t="inlineStr">
        <is>
          <t>Smartphone 5G</t>
        </is>
      </c>
      <c r="H117" s="16" t="n">
        <v>3</v>
      </c>
      <c r="I117" s="17" t="n">
        <v>2800</v>
      </c>
      <c r="J117" s="17">
        <f>H117*I117</f>
        <v/>
      </c>
      <c r="K117" s="17">
        <f>H117*1900</f>
        <v/>
      </c>
      <c r="L117" s="17">
        <f>J117-K117</f>
        <v/>
      </c>
    </row>
    <row r="118">
      <c r="A118" s="14" t="inlineStr">
        <is>
          <t>PED-1117</t>
        </is>
      </c>
      <c r="B118" s="15" t="n">
        <v>46144</v>
      </c>
      <c r="C118" s="14" t="inlineStr">
        <is>
          <t>2026-05</t>
        </is>
      </c>
      <c r="D118" s="10" t="inlineStr">
        <is>
          <t>Sudeste</t>
        </is>
      </c>
      <c r="E118" s="10" t="inlineStr">
        <is>
          <t>Beatriz Costa</t>
        </is>
      </c>
      <c r="F118" s="10" t="inlineStr">
        <is>
          <t>Eletrônicos</t>
        </is>
      </c>
      <c r="G118" s="10" t="inlineStr">
        <is>
          <t>Headset Sem Fio</t>
        </is>
      </c>
      <c r="H118" s="16" t="n">
        <v>5</v>
      </c>
      <c r="I118" s="17" t="n">
        <v>450</v>
      </c>
      <c r="J118" s="17">
        <f>H118*I118</f>
        <v/>
      </c>
      <c r="K118" s="17">
        <f>H118*250</f>
        <v/>
      </c>
      <c r="L118" s="17">
        <f>J118-K118</f>
        <v/>
      </c>
    </row>
    <row r="119">
      <c r="A119" s="14" t="inlineStr">
        <is>
          <t>PED-1118</t>
        </is>
      </c>
      <c r="B119" s="15" t="n">
        <v>46219</v>
      </c>
      <c r="C119" s="14" t="inlineStr">
        <is>
          <t>2026-07</t>
        </is>
      </c>
      <c r="D119" s="10" t="inlineStr">
        <is>
          <t>Nordeste</t>
        </is>
      </c>
      <c r="E119" s="10" t="inlineStr">
        <is>
          <t>Carlos Souza</t>
        </is>
      </c>
      <c r="F119" s="10" t="inlineStr">
        <is>
          <t>Acessórios</t>
        </is>
      </c>
      <c r="G119" s="10" t="inlineStr">
        <is>
          <t>Teclado Mecânico</t>
        </is>
      </c>
      <c r="H119" s="16" t="n">
        <v>3</v>
      </c>
      <c r="I119" s="17" t="n">
        <v>350</v>
      </c>
      <c r="J119" s="17">
        <f>H119*I119</f>
        <v/>
      </c>
      <c r="K119" s="17">
        <f>H119*200</f>
        <v/>
      </c>
      <c r="L119" s="17">
        <f>J119-K119</f>
        <v/>
      </c>
    </row>
    <row r="120">
      <c r="A120" s="14" t="inlineStr">
        <is>
          <t>PED-1119</t>
        </is>
      </c>
      <c r="B120" s="15" t="n">
        <v>46102</v>
      </c>
      <c r="C120" s="14" t="inlineStr">
        <is>
          <t>2026-03</t>
        </is>
      </c>
      <c r="D120" s="10" t="inlineStr">
        <is>
          <t>Sudeste</t>
        </is>
      </c>
      <c r="E120" s="10" t="inlineStr">
        <is>
          <t>Beatriz Costa</t>
        </is>
      </c>
      <c r="F120" s="10" t="inlineStr">
        <is>
          <t>Eletrônicos</t>
        </is>
      </c>
      <c r="G120" s="10" t="inlineStr">
        <is>
          <t>Monitor 27' 144Hz</t>
        </is>
      </c>
      <c r="H120" s="16" t="n">
        <v>10</v>
      </c>
      <c r="I120" s="17" t="n">
        <v>1600</v>
      </c>
      <c r="J120" s="17">
        <f>H120*I120</f>
        <v/>
      </c>
      <c r="K120" s="17">
        <f>H120*1100</f>
        <v/>
      </c>
      <c r="L120" s="17">
        <f>J120-K120</f>
        <v/>
      </c>
    </row>
    <row r="121">
      <c r="A121" s="14" t="inlineStr">
        <is>
          <t>PED-1120</t>
        </is>
      </c>
      <c r="B121" s="15" t="n">
        <v>46196</v>
      </c>
      <c r="C121" s="14" t="inlineStr">
        <is>
          <t>2026-06</t>
        </is>
      </c>
      <c r="D121" s="10" t="inlineStr">
        <is>
          <t>Centro-Oeste</t>
        </is>
      </c>
      <c r="E121" s="10" t="inlineStr">
        <is>
          <t>Lucas Ferreira</t>
        </is>
      </c>
      <c r="F121" s="10" t="inlineStr">
        <is>
          <t>Acessórios</t>
        </is>
      </c>
      <c r="G121" s="10" t="inlineStr">
        <is>
          <t>Mouse Vertical</t>
        </is>
      </c>
      <c r="H121" s="16" t="n">
        <v>2</v>
      </c>
      <c r="I121" s="17" t="n">
        <v>220</v>
      </c>
      <c r="J121" s="17">
        <f>H121*I121</f>
        <v/>
      </c>
      <c r="K121" s="17">
        <f>H121*120</f>
        <v/>
      </c>
      <c r="L121" s="17">
        <f>J121-K121</f>
        <v/>
      </c>
    </row>
    <row r="122">
      <c r="A122" s="14" t="inlineStr">
        <is>
          <t>PED-1121</t>
        </is>
      </c>
      <c r="B122" s="15" t="n">
        <v>46174</v>
      </c>
      <c r="C122" s="14" t="inlineStr">
        <is>
          <t>2026-06</t>
        </is>
      </c>
      <c r="D122" s="10" t="inlineStr">
        <is>
          <t>Sul</t>
        </is>
      </c>
      <c r="E122" s="10" t="inlineStr">
        <is>
          <t>Ana Silva</t>
        </is>
      </c>
      <c r="F122" s="10" t="inlineStr">
        <is>
          <t>Acessórios</t>
        </is>
      </c>
      <c r="G122" s="10" t="inlineStr">
        <is>
          <t>Webcam Full HD</t>
        </is>
      </c>
      <c r="H122" s="16" t="n">
        <v>10</v>
      </c>
      <c r="I122" s="17" t="n">
        <v>380</v>
      </c>
      <c r="J122" s="17">
        <f>H122*I122</f>
        <v/>
      </c>
      <c r="K122" s="17">
        <f>H122*220</f>
        <v/>
      </c>
      <c r="L122" s="17">
        <f>J122-K122</f>
        <v/>
      </c>
    </row>
    <row r="123">
      <c r="A123" s="14" t="inlineStr">
        <is>
          <t>PED-1122</t>
        </is>
      </c>
      <c r="B123" s="15" t="n">
        <v>46229</v>
      </c>
      <c r="C123" s="14" t="inlineStr">
        <is>
          <t>2026-07</t>
        </is>
      </c>
      <c r="D123" s="10" t="inlineStr">
        <is>
          <t>Sudeste</t>
        </is>
      </c>
      <c r="E123" s="10" t="inlineStr">
        <is>
          <t>Beatriz Costa</t>
        </is>
      </c>
      <c r="F123" s="10" t="inlineStr">
        <is>
          <t>Eletrônicos</t>
        </is>
      </c>
      <c r="G123" s="10" t="inlineStr">
        <is>
          <t>Monitor 27' 144Hz</t>
        </is>
      </c>
      <c r="H123" s="16" t="n">
        <v>9</v>
      </c>
      <c r="I123" s="17" t="n">
        <v>1600</v>
      </c>
      <c r="J123" s="17">
        <f>H123*I123</f>
        <v/>
      </c>
      <c r="K123" s="17">
        <f>H123*1100</f>
        <v/>
      </c>
      <c r="L123" s="17">
        <f>J123-K123</f>
        <v/>
      </c>
    </row>
    <row r="124">
      <c r="A124" s="14" t="inlineStr">
        <is>
          <t>PED-1123</t>
        </is>
      </c>
      <c r="B124" s="15" t="n">
        <v>46132</v>
      </c>
      <c r="C124" s="14" t="inlineStr">
        <is>
          <t>2026-04</t>
        </is>
      </c>
      <c r="D124" s="10" t="inlineStr">
        <is>
          <t>Nordeste</t>
        </is>
      </c>
      <c r="E124" s="10" t="inlineStr">
        <is>
          <t>Ana Silva</t>
        </is>
      </c>
      <c r="F124" s="10" t="inlineStr">
        <is>
          <t>Acessórios</t>
        </is>
      </c>
      <c r="G124" s="10" t="inlineStr">
        <is>
          <t>Webcam Full HD</t>
        </is>
      </c>
      <c r="H124" s="16" t="n">
        <v>1</v>
      </c>
      <c r="I124" s="17" t="n">
        <v>380</v>
      </c>
      <c r="J124" s="17">
        <f>H124*I124</f>
        <v/>
      </c>
      <c r="K124" s="17">
        <f>H124*220</f>
        <v/>
      </c>
      <c r="L124" s="17">
        <f>J124-K124</f>
        <v/>
      </c>
    </row>
    <row r="125">
      <c r="A125" s="14" t="inlineStr">
        <is>
          <t>PED-1124</t>
        </is>
      </c>
      <c r="B125" s="15" t="n">
        <v>46240</v>
      </c>
      <c r="C125" s="14" t="inlineStr">
        <is>
          <t>2026-08</t>
        </is>
      </c>
      <c r="D125" s="10" t="inlineStr">
        <is>
          <t>Centro-Oeste</t>
        </is>
      </c>
      <c r="E125" s="10" t="inlineStr">
        <is>
          <t>Lucas Ferreira</t>
        </is>
      </c>
      <c r="F125" s="10" t="inlineStr">
        <is>
          <t>Eletrônicos</t>
        </is>
      </c>
      <c r="G125" s="10" t="inlineStr">
        <is>
          <t>Headset Sem Fio</t>
        </is>
      </c>
      <c r="H125" s="16" t="n">
        <v>6</v>
      </c>
      <c r="I125" s="17" t="n">
        <v>450</v>
      </c>
      <c r="J125" s="17">
        <f>H125*I125</f>
        <v/>
      </c>
      <c r="K125" s="17">
        <f>H125*250</f>
        <v/>
      </c>
      <c r="L125" s="17">
        <f>J125-K125</f>
        <v/>
      </c>
    </row>
    <row r="126">
      <c r="A126" s="14" t="inlineStr">
        <is>
          <t>PED-1125</t>
        </is>
      </c>
      <c r="B126" s="15" t="n">
        <v>46185</v>
      </c>
      <c r="C126" s="14" t="inlineStr">
        <is>
          <t>2026-06</t>
        </is>
      </c>
      <c r="D126" s="10" t="inlineStr">
        <is>
          <t>Centro-Oeste</t>
        </is>
      </c>
      <c r="E126" s="10" t="inlineStr">
        <is>
          <t>Carlos Souza</t>
        </is>
      </c>
      <c r="F126" s="10" t="inlineStr">
        <is>
          <t>Móveis</t>
        </is>
      </c>
      <c r="G126" s="10" t="inlineStr">
        <is>
          <t>Cadeira Ergonômica</t>
        </is>
      </c>
      <c r="H126" s="16" t="n">
        <v>9</v>
      </c>
      <c r="I126" s="17" t="n">
        <v>1200</v>
      </c>
      <c r="J126" s="17">
        <f>H126*I126</f>
        <v/>
      </c>
      <c r="K126" s="17">
        <f>H126*750</f>
        <v/>
      </c>
      <c r="L126" s="17">
        <f>J126-K126</f>
        <v/>
      </c>
    </row>
    <row r="127">
      <c r="A127" s="14" t="inlineStr">
        <is>
          <t>PED-1126</t>
        </is>
      </c>
      <c r="B127" s="15" t="n">
        <v>46189</v>
      </c>
      <c r="C127" s="14" t="inlineStr">
        <is>
          <t>2026-06</t>
        </is>
      </c>
      <c r="D127" s="10" t="inlineStr">
        <is>
          <t>Nordeste</t>
        </is>
      </c>
      <c r="E127" s="10" t="inlineStr">
        <is>
          <t>Beatriz Costa</t>
        </is>
      </c>
      <c r="F127" s="10" t="inlineStr">
        <is>
          <t>Acessórios</t>
        </is>
      </c>
      <c r="G127" s="10" t="inlineStr">
        <is>
          <t>Suporte Monitor</t>
        </is>
      </c>
      <c r="H127" s="16" t="n">
        <v>8</v>
      </c>
      <c r="I127" s="17" t="n">
        <v>150</v>
      </c>
      <c r="J127" s="17">
        <f>H127*I127</f>
        <v/>
      </c>
      <c r="K127" s="17">
        <f>H127*80</f>
        <v/>
      </c>
      <c r="L127" s="17">
        <f>J127-K127</f>
        <v/>
      </c>
    </row>
    <row r="128">
      <c r="A128" s="14" t="inlineStr">
        <is>
          <t>PED-1127</t>
        </is>
      </c>
      <c r="B128" s="15" t="n">
        <v>46134</v>
      </c>
      <c r="C128" s="14" t="inlineStr">
        <is>
          <t>2026-04</t>
        </is>
      </c>
      <c r="D128" s="10" t="inlineStr">
        <is>
          <t>Norte</t>
        </is>
      </c>
      <c r="E128" s="10" t="inlineStr">
        <is>
          <t>Mariana Oliveira</t>
        </is>
      </c>
      <c r="F128" s="10" t="inlineStr">
        <is>
          <t>Móveis</t>
        </is>
      </c>
      <c r="G128" s="10" t="inlineStr">
        <is>
          <t>Cadeira Ergonômica</t>
        </is>
      </c>
      <c r="H128" s="16" t="n">
        <v>2</v>
      </c>
      <c r="I128" s="17" t="n">
        <v>1200</v>
      </c>
      <c r="J128" s="17">
        <f>H128*I128</f>
        <v/>
      </c>
      <c r="K128" s="17">
        <f>H128*750</f>
        <v/>
      </c>
      <c r="L128" s="17">
        <f>J128-K128</f>
        <v/>
      </c>
    </row>
    <row r="129">
      <c r="A129" s="14" t="inlineStr">
        <is>
          <t>PED-1128</t>
        </is>
      </c>
      <c r="B129" s="15" t="n">
        <v>46094</v>
      </c>
      <c r="C129" s="14" t="inlineStr">
        <is>
          <t>2026-03</t>
        </is>
      </c>
      <c r="D129" s="10" t="inlineStr">
        <is>
          <t>Centro-Oeste</t>
        </is>
      </c>
      <c r="E129" s="10" t="inlineStr">
        <is>
          <t>Carlos Souza</t>
        </is>
      </c>
      <c r="F129" s="10" t="inlineStr">
        <is>
          <t>Móveis</t>
        </is>
      </c>
      <c r="G129" s="10" t="inlineStr">
        <is>
          <t>Estante de Livros</t>
        </is>
      </c>
      <c r="H129" s="16" t="n">
        <v>10</v>
      </c>
      <c r="I129" s="17" t="n">
        <v>500</v>
      </c>
      <c r="J129" s="17">
        <f>H129*I129</f>
        <v/>
      </c>
      <c r="K129" s="17">
        <f>H129*300</f>
        <v/>
      </c>
      <c r="L129" s="17">
        <f>J129-K129</f>
        <v/>
      </c>
    </row>
    <row r="130">
      <c r="A130" s="14" t="inlineStr">
        <is>
          <t>PED-1129</t>
        </is>
      </c>
      <c r="B130" s="15" t="n">
        <v>46194</v>
      </c>
      <c r="C130" s="14" t="inlineStr">
        <is>
          <t>2026-06</t>
        </is>
      </c>
      <c r="D130" s="10" t="inlineStr">
        <is>
          <t>Centro-Oeste</t>
        </is>
      </c>
      <c r="E130" s="10" t="inlineStr">
        <is>
          <t>Mariana Oliveira</t>
        </is>
      </c>
      <c r="F130" s="10" t="inlineStr">
        <is>
          <t>Eletrônicos</t>
        </is>
      </c>
      <c r="G130" s="10" t="inlineStr">
        <is>
          <t>Headset Sem Fio</t>
        </is>
      </c>
      <c r="H130" s="16" t="n">
        <v>6</v>
      </c>
      <c r="I130" s="17" t="n">
        <v>450</v>
      </c>
      <c r="J130" s="17">
        <f>H130*I130</f>
        <v/>
      </c>
      <c r="K130" s="17">
        <f>H130*250</f>
        <v/>
      </c>
      <c r="L130" s="17">
        <f>J130-K130</f>
        <v/>
      </c>
    </row>
    <row r="131">
      <c r="A131" s="14" t="inlineStr">
        <is>
          <t>PED-1130</t>
        </is>
      </c>
      <c r="B131" s="15" t="n">
        <v>46069</v>
      </c>
      <c r="C131" s="14" t="inlineStr">
        <is>
          <t>2026-02</t>
        </is>
      </c>
      <c r="D131" s="10" t="inlineStr">
        <is>
          <t>Centro-Oeste</t>
        </is>
      </c>
      <c r="E131" s="10" t="inlineStr">
        <is>
          <t>Carlos Souza</t>
        </is>
      </c>
      <c r="F131" s="10" t="inlineStr">
        <is>
          <t>Móveis</t>
        </is>
      </c>
      <c r="G131" s="10" t="inlineStr">
        <is>
          <t>Mesa Escritório L</t>
        </is>
      </c>
      <c r="H131" s="16" t="n">
        <v>6</v>
      </c>
      <c r="I131" s="17" t="n">
        <v>950</v>
      </c>
      <c r="J131" s="17">
        <f>H131*I131</f>
        <v/>
      </c>
      <c r="K131" s="17">
        <f>H131*600</f>
        <v/>
      </c>
      <c r="L131" s="17">
        <f>J131-K131</f>
        <v/>
      </c>
    </row>
    <row r="132">
      <c r="A132" s="14" t="inlineStr">
        <is>
          <t>PED-1131</t>
        </is>
      </c>
      <c r="B132" s="15" t="n">
        <v>46094</v>
      </c>
      <c r="C132" s="14" t="inlineStr">
        <is>
          <t>2026-03</t>
        </is>
      </c>
      <c r="D132" s="10" t="inlineStr">
        <is>
          <t>Norte</t>
        </is>
      </c>
      <c r="E132" s="10" t="inlineStr">
        <is>
          <t>Mariana Oliveira</t>
        </is>
      </c>
      <c r="F132" s="10" t="inlineStr">
        <is>
          <t>Acessórios</t>
        </is>
      </c>
      <c r="G132" s="10" t="inlineStr">
        <is>
          <t>Teclado Mecânico</t>
        </is>
      </c>
      <c r="H132" s="16" t="n">
        <v>9</v>
      </c>
      <c r="I132" s="17" t="n">
        <v>350</v>
      </c>
      <c r="J132" s="17">
        <f>H132*I132</f>
        <v/>
      </c>
      <c r="K132" s="17">
        <f>H132*200</f>
        <v/>
      </c>
      <c r="L132" s="17">
        <f>J132-K132</f>
        <v/>
      </c>
    </row>
    <row r="133">
      <c r="A133" s="14" t="inlineStr">
        <is>
          <t>PED-1132</t>
        </is>
      </c>
      <c r="B133" s="15" t="n">
        <v>46071</v>
      </c>
      <c r="C133" s="14" t="inlineStr">
        <is>
          <t>2026-02</t>
        </is>
      </c>
      <c r="D133" s="10" t="inlineStr">
        <is>
          <t>Sudeste</t>
        </is>
      </c>
      <c r="E133" s="10" t="inlineStr">
        <is>
          <t>Carlos Souza</t>
        </is>
      </c>
      <c r="F133" s="10" t="inlineStr">
        <is>
          <t>Acessórios</t>
        </is>
      </c>
      <c r="G133" s="10" t="inlineStr">
        <is>
          <t>Suporte Monitor</t>
        </is>
      </c>
      <c r="H133" s="16" t="n">
        <v>8</v>
      </c>
      <c r="I133" s="17" t="n">
        <v>150</v>
      </c>
      <c r="J133" s="17">
        <f>H133*I133</f>
        <v/>
      </c>
      <c r="K133" s="17">
        <f>H133*80</f>
        <v/>
      </c>
      <c r="L133" s="17">
        <f>J133-K133</f>
        <v/>
      </c>
    </row>
    <row r="134">
      <c r="A134" s="14" t="inlineStr">
        <is>
          <t>PED-1133</t>
        </is>
      </c>
      <c r="B134" s="15" t="n">
        <v>46165</v>
      </c>
      <c r="C134" s="14" t="inlineStr">
        <is>
          <t>2026-05</t>
        </is>
      </c>
      <c r="D134" s="10" t="inlineStr">
        <is>
          <t>Sul</t>
        </is>
      </c>
      <c r="E134" s="10" t="inlineStr">
        <is>
          <t>Lucas Ferreira</t>
        </is>
      </c>
      <c r="F134" s="10" t="inlineStr">
        <is>
          <t>Acessórios</t>
        </is>
      </c>
      <c r="G134" s="10" t="inlineStr">
        <is>
          <t>Suporte Monitor</t>
        </is>
      </c>
      <c r="H134" s="16" t="n">
        <v>8</v>
      </c>
      <c r="I134" s="17" t="n">
        <v>150</v>
      </c>
      <c r="J134" s="17">
        <f>H134*I134</f>
        <v/>
      </c>
      <c r="K134" s="17">
        <f>H134*80</f>
        <v/>
      </c>
      <c r="L134" s="17">
        <f>J134-K134</f>
        <v/>
      </c>
    </row>
    <row r="135">
      <c r="A135" s="14" t="inlineStr">
        <is>
          <t>PED-1134</t>
        </is>
      </c>
      <c r="B135" s="15" t="n">
        <v>46225</v>
      </c>
      <c r="C135" s="14" t="inlineStr">
        <is>
          <t>2026-07</t>
        </is>
      </c>
      <c r="D135" s="10" t="inlineStr">
        <is>
          <t>Sudeste</t>
        </is>
      </c>
      <c r="E135" s="10" t="inlineStr">
        <is>
          <t>Ana Silva</t>
        </is>
      </c>
      <c r="F135" s="10" t="inlineStr">
        <is>
          <t>Móveis</t>
        </is>
      </c>
      <c r="G135" s="10" t="inlineStr">
        <is>
          <t>Cadeira Ergonômica</t>
        </is>
      </c>
      <c r="H135" s="16" t="n">
        <v>7</v>
      </c>
      <c r="I135" s="17" t="n">
        <v>1200</v>
      </c>
      <c r="J135" s="17">
        <f>H135*I135</f>
        <v/>
      </c>
      <c r="K135" s="17">
        <f>H135*750</f>
        <v/>
      </c>
      <c r="L135" s="17">
        <f>J135-K135</f>
        <v/>
      </c>
    </row>
    <row r="136">
      <c r="A136" s="14" t="inlineStr">
        <is>
          <t>PED-1135</t>
        </is>
      </c>
      <c r="B136" s="15" t="n">
        <v>46200</v>
      </c>
      <c r="C136" s="14" t="inlineStr">
        <is>
          <t>2026-06</t>
        </is>
      </c>
      <c r="D136" s="10" t="inlineStr">
        <is>
          <t>Sul</t>
        </is>
      </c>
      <c r="E136" s="10" t="inlineStr">
        <is>
          <t>Mariana Oliveira</t>
        </is>
      </c>
      <c r="F136" s="10" t="inlineStr">
        <is>
          <t>Acessórios</t>
        </is>
      </c>
      <c r="G136" s="10" t="inlineStr">
        <is>
          <t>Webcam Full HD</t>
        </is>
      </c>
      <c r="H136" s="16" t="n">
        <v>8</v>
      </c>
      <c r="I136" s="17" t="n">
        <v>380</v>
      </c>
      <c r="J136" s="17">
        <f>H136*I136</f>
        <v/>
      </c>
      <c r="K136" s="17">
        <f>H136*220</f>
        <v/>
      </c>
      <c r="L136" s="17">
        <f>J136-K136</f>
        <v/>
      </c>
    </row>
    <row r="137">
      <c r="A137" s="14" t="inlineStr">
        <is>
          <t>PED-1136</t>
        </is>
      </c>
      <c r="B137" s="15" t="n">
        <v>46164</v>
      </c>
      <c r="C137" s="14" t="inlineStr">
        <is>
          <t>2026-05</t>
        </is>
      </c>
      <c r="D137" s="10" t="inlineStr">
        <is>
          <t>Norte</t>
        </is>
      </c>
      <c r="E137" s="10" t="inlineStr">
        <is>
          <t>Mariana Oliveira</t>
        </is>
      </c>
      <c r="F137" s="10" t="inlineStr">
        <is>
          <t>Móveis</t>
        </is>
      </c>
      <c r="G137" s="10" t="inlineStr">
        <is>
          <t>Estante de Livros</t>
        </is>
      </c>
      <c r="H137" s="16" t="n">
        <v>9</v>
      </c>
      <c r="I137" s="17" t="n">
        <v>500</v>
      </c>
      <c r="J137" s="17">
        <f>H137*I137</f>
        <v/>
      </c>
      <c r="K137" s="17">
        <f>H137*300</f>
        <v/>
      </c>
      <c r="L137" s="17">
        <f>J137-K137</f>
        <v/>
      </c>
    </row>
    <row r="138">
      <c r="A138" s="14" t="inlineStr">
        <is>
          <t>PED-1137</t>
        </is>
      </c>
      <c r="B138" s="15" t="n">
        <v>46107</v>
      </c>
      <c r="C138" s="14" t="inlineStr">
        <is>
          <t>2026-03</t>
        </is>
      </c>
      <c r="D138" s="10" t="inlineStr">
        <is>
          <t>Nordeste</t>
        </is>
      </c>
      <c r="E138" s="10" t="inlineStr">
        <is>
          <t>Lucas Ferreira</t>
        </is>
      </c>
      <c r="F138" s="10" t="inlineStr">
        <is>
          <t>Móveis</t>
        </is>
      </c>
      <c r="G138" s="10" t="inlineStr">
        <is>
          <t>Mesa Escritório L</t>
        </is>
      </c>
      <c r="H138" s="16" t="n">
        <v>5</v>
      </c>
      <c r="I138" s="17" t="n">
        <v>950</v>
      </c>
      <c r="J138" s="17">
        <f>H138*I138</f>
        <v/>
      </c>
      <c r="K138" s="17">
        <f>H138*600</f>
        <v/>
      </c>
      <c r="L138" s="17">
        <f>J138-K138</f>
        <v/>
      </c>
    </row>
    <row r="139">
      <c r="A139" s="14" t="inlineStr">
        <is>
          <t>PED-1138</t>
        </is>
      </c>
      <c r="B139" s="15" t="n">
        <v>46082</v>
      </c>
      <c r="C139" s="14" t="inlineStr">
        <is>
          <t>2026-03</t>
        </is>
      </c>
      <c r="D139" s="10" t="inlineStr">
        <is>
          <t>Sudeste</t>
        </is>
      </c>
      <c r="E139" s="10" t="inlineStr">
        <is>
          <t>Carlos Souza</t>
        </is>
      </c>
      <c r="F139" s="10" t="inlineStr">
        <is>
          <t>Móveis</t>
        </is>
      </c>
      <c r="G139" s="10" t="inlineStr">
        <is>
          <t>Cadeira Ergonômica</t>
        </is>
      </c>
      <c r="H139" s="16" t="n">
        <v>9</v>
      </c>
      <c r="I139" s="17" t="n">
        <v>1200</v>
      </c>
      <c r="J139" s="17">
        <f>H139*I139</f>
        <v/>
      </c>
      <c r="K139" s="17">
        <f>H139*750</f>
        <v/>
      </c>
      <c r="L139" s="17">
        <f>J139-K139</f>
        <v/>
      </c>
    </row>
    <row r="140">
      <c r="A140" s="14" t="inlineStr">
        <is>
          <t>PED-1139</t>
        </is>
      </c>
      <c r="B140" s="15" t="n">
        <v>46218</v>
      </c>
      <c r="C140" s="14" t="inlineStr">
        <is>
          <t>2026-07</t>
        </is>
      </c>
      <c r="D140" s="10" t="inlineStr">
        <is>
          <t>Sul</t>
        </is>
      </c>
      <c r="E140" s="10" t="inlineStr">
        <is>
          <t>Carlos Souza</t>
        </is>
      </c>
      <c r="F140" s="10" t="inlineStr">
        <is>
          <t>Eletrônicos</t>
        </is>
      </c>
      <c r="G140" s="10" t="inlineStr">
        <is>
          <t>Headset Sem Fio</t>
        </is>
      </c>
      <c r="H140" s="16" t="n">
        <v>5</v>
      </c>
      <c r="I140" s="17" t="n">
        <v>450</v>
      </c>
      <c r="J140" s="17">
        <f>H140*I140</f>
        <v/>
      </c>
      <c r="K140" s="17">
        <f>H140*250</f>
        <v/>
      </c>
      <c r="L140" s="17">
        <f>J140-K140</f>
        <v/>
      </c>
    </row>
    <row r="141">
      <c r="A141" s="14" t="inlineStr">
        <is>
          <t>PED-1140</t>
        </is>
      </c>
      <c r="B141" s="15" t="n">
        <v>46208</v>
      </c>
      <c r="C141" s="14" t="inlineStr">
        <is>
          <t>2026-07</t>
        </is>
      </c>
      <c r="D141" s="10" t="inlineStr">
        <is>
          <t>Norte</t>
        </is>
      </c>
      <c r="E141" s="10" t="inlineStr">
        <is>
          <t>Beatriz Costa</t>
        </is>
      </c>
      <c r="F141" s="10" t="inlineStr">
        <is>
          <t>Acessórios</t>
        </is>
      </c>
      <c r="G141" s="10" t="inlineStr">
        <is>
          <t>Webcam Full HD</t>
        </is>
      </c>
      <c r="H141" s="16" t="n">
        <v>2</v>
      </c>
      <c r="I141" s="17" t="n">
        <v>380</v>
      </c>
      <c r="J141" s="17">
        <f>H141*I141</f>
        <v/>
      </c>
      <c r="K141" s="17">
        <f>H141*220</f>
        <v/>
      </c>
      <c r="L141" s="17">
        <f>J141-K141</f>
        <v/>
      </c>
    </row>
    <row r="142">
      <c r="A142" s="14" t="inlineStr">
        <is>
          <t>PED-1141</t>
        </is>
      </c>
      <c r="B142" s="15" t="n">
        <v>46236</v>
      </c>
      <c r="C142" s="14" t="inlineStr">
        <is>
          <t>2026-08</t>
        </is>
      </c>
      <c r="D142" s="10" t="inlineStr">
        <is>
          <t>Sul</t>
        </is>
      </c>
      <c r="E142" s="10" t="inlineStr">
        <is>
          <t>Mariana Oliveira</t>
        </is>
      </c>
      <c r="F142" s="10" t="inlineStr">
        <is>
          <t>Eletrônicos</t>
        </is>
      </c>
      <c r="G142" s="10" t="inlineStr">
        <is>
          <t>Monitor 27' 144Hz</t>
        </is>
      </c>
      <c r="H142" s="16" t="n">
        <v>3</v>
      </c>
      <c r="I142" s="17" t="n">
        <v>1600</v>
      </c>
      <c r="J142" s="17">
        <f>H142*I142</f>
        <v/>
      </c>
      <c r="K142" s="17">
        <f>H142*1100</f>
        <v/>
      </c>
      <c r="L142" s="17">
        <f>J142-K142</f>
        <v/>
      </c>
    </row>
    <row r="143">
      <c r="A143" s="14" t="inlineStr">
        <is>
          <t>PED-1142</t>
        </is>
      </c>
      <c r="B143" s="15" t="n">
        <v>46100</v>
      </c>
      <c r="C143" s="14" t="inlineStr">
        <is>
          <t>2026-03</t>
        </is>
      </c>
      <c r="D143" s="10" t="inlineStr">
        <is>
          <t>Sudeste</t>
        </is>
      </c>
      <c r="E143" s="10" t="inlineStr">
        <is>
          <t>Beatriz Costa</t>
        </is>
      </c>
      <c r="F143" s="10" t="inlineStr">
        <is>
          <t>Eletrônicos</t>
        </is>
      </c>
      <c r="G143" s="10" t="inlineStr">
        <is>
          <t>Monitor 27' 144Hz</t>
        </is>
      </c>
      <c r="H143" s="16" t="n">
        <v>1</v>
      </c>
      <c r="I143" s="17" t="n">
        <v>1600</v>
      </c>
      <c r="J143" s="17">
        <f>H143*I143</f>
        <v/>
      </c>
      <c r="K143" s="17">
        <f>H143*1100</f>
        <v/>
      </c>
      <c r="L143" s="17">
        <f>J143-K143</f>
        <v/>
      </c>
    </row>
    <row r="144">
      <c r="A144" s="14" t="inlineStr">
        <is>
          <t>PED-1143</t>
        </is>
      </c>
      <c r="B144" s="15" t="n">
        <v>46036</v>
      </c>
      <c r="C144" s="14" t="inlineStr">
        <is>
          <t>2026-01</t>
        </is>
      </c>
      <c r="D144" s="10" t="inlineStr">
        <is>
          <t>Norte</t>
        </is>
      </c>
      <c r="E144" s="10" t="inlineStr">
        <is>
          <t>Mariana Oliveira</t>
        </is>
      </c>
      <c r="F144" s="10" t="inlineStr">
        <is>
          <t>Acessórios</t>
        </is>
      </c>
      <c r="G144" s="10" t="inlineStr">
        <is>
          <t>Mouse Vertical</t>
        </is>
      </c>
      <c r="H144" s="16" t="n">
        <v>8</v>
      </c>
      <c r="I144" s="17" t="n">
        <v>220</v>
      </c>
      <c r="J144" s="17">
        <f>H144*I144</f>
        <v/>
      </c>
      <c r="K144" s="17">
        <f>H144*120</f>
        <v/>
      </c>
      <c r="L144" s="17">
        <f>J144-K144</f>
        <v/>
      </c>
    </row>
    <row r="145">
      <c r="A145" s="14" t="inlineStr">
        <is>
          <t>PED-1144</t>
        </is>
      </c>
      <c r="B145" s="15" t="n">
        <v>46049</v>
      </c>
      <c r="C145" s="14" t="inlineStr">
        <is>
          <t>2026-01</t>
        </is>
      </c>
      <c r="D145" s="10" t="inlineStr">
        <is>
          <t>Sudeste</t>
        </is>
      </c>
      <c r="E145" s="10" t="inlineStr">
        <is>
          <t>Beatriz Costa</t>
        </is>
      </c>
      <c r="F145" s="10" t="inlineStr">
        <is>
          <t>Móveis</t>
        </is>
      </c>
      <c r="G145" s="10" t="inlineStr">
        <is>
          <t>Mesa Escritório L</t>
        </is>
      </c>
      <c r="H145" s="16" t="n">
        <v>8</v>
      </c>
      <c r="I145" s="17" t="n">
        <v>950</v>
      </c>
      <c r="J145" s="17">
        <f>H145*I145</f>
        <v/>
      </c>
      <c r="K145" s="17">
        <f>H145*600</f>
        <v/>
      </c>
      <c r="L145" s="17">
        <f>J145-K145</f>
        <v/>
      </c>
    </row>
    <row r="146">
      <c r="A146" s="14" t="inlineStr">
        <is>
          <t>PED-1145</t>
        </is>
      </c>
      <c r="B146" s="15" t="n">
        <v>46135</v>
      </c>
      <c r="C146" s="14" t="inlineStr">
        <is>
          <t>2026-04</t>
        </is>
      </c>
      <c r="D146" s="10" t="inlineStr">
        <is>
          <t>Nordeste</t>
        </is>
      </c>
      <c r="E146" s="10" t="inlineStr">
        <is>
          <t>Carlos Souza</t>
        </is>
      </c>
      <c r="F146" s="10" t="inlineStr">
        <is>
          <t>Eletrônicos</t>
        </is>
      </c>
      <c r="G146" s="10" t="inlineStr">
        <is>
          <t>Monitor 27' 144Hz</t>
        </is>
      </c>
      <c r="H146" s="16" t="n">
        <v>8</v>
      </c>
      <c r="I146" s="17" t="n">
        <v>1600</v>
      </c>
      <c r="J146" s="17">
        <f>H146*I146</f>
        <v/>
      </c>
      <c r="K146" s="17">
        <f>H146*1100</f>
        <v/>
      </c>
      <c r="L146" s="17">
        <f>J146-K146</f>
        <v/>
      </c>
    </row>
    <row r="147">
      <c r="A147" s="14" t="inlineStr">
        <is>
          <t>PED-1146</t>
        </is>
      </c>
      <c r="B147" s="15" t="n">
        <v>46052</v>
      </c>
      <c r="C147" s="14" t="inlineStr">
        <is>
          <t>2026-01</t>
        </is>
      </c>
      <c r="D147" s="10" t="inlineStr">
        <is>
          <t>Sudeste</t>
        </is>
      </c>
      <c r="E147" s="10" t="inlineStr">
        <is>
          <t>Lucas Ferreira</t>
        </is>
      </c>
      <c r="F147" s="10" t="inlineStr">
        <is>
          <t>Móveis</t>
        </is>
      </c>
      <c r="G147" s="10" t="inlineStr">
        <is>
          <t>Cadeira Ergonômica</t>
        </is>
      </c>
      <c r="H147" s="16" t="n">
        <v>10</v>
      </c>
      <c r="I147" s="17" t="n">
        <v>1200</v>
      </c>
      <c r="J147" s="17">
        <f>H147*I147</f>
        <v/>
      </c>
      <c r="K147" s="17">
        <f>H147*750</f>
        <v/>
      </c>
      <c r="L147" s="17">
        <f>J147-K147</f>
        <v/>
      </c>
    </row>
    <row r="148">
      <c r="A148" s="14" t="inlineStr">
        <is>
          <t>PED-1147</t>
        </is>
      </c>
      <c r="B148" s="15" t="n">
        <v>46184</v>
      </c>
      <c r="C148" s="14" t="inlineStr">
        <is>
          <t>2026-06</t>
        </is>
      </c>
      <c r="D148" s="10" t="inlineStr">
        <is>
          <t>Sudeste</t>
        </is>
      </c>
      <c r="E148" s="10" t="inlineStr">
        <is>
          <t>Carlos Souza</t>
        </is>
      </c>
      <c r="F148" s="10" t="inlineStr">
        <is>
          <t>Eletrônicos</t>
        </is>
      </c>
      <c r="G148" s="10" t="inlineStr">
        <is>
          <t>Monitor 27' 144Hz</t>
        </is>
      </c>
      <c r="H148" s="16" t="n">
        <v>2</v>
      </c>
      <c r="I148" s="17" t="n">
        <v>1600</v>
      </c>
      <c r="J148" s="17">
        <f>H148*I148</f>
        <v/>
      </c>
      <c r="K148" s="17">
        <f>H148*1100</f>
        <v/>
      </c>
      <c r="L148" s="17">
        <f>J148-K148</f>
        <v/>
      </c>
    </row>
    <row r="149">
      <c r="A149" s="14" t="inlineStr">
        <is>
          <t>PED-1148</t>
        </is>
      </c>
      <c r="B149" s="15" t="n">
        <v>46086</v>
      </c>
      <c r="C149" s="14" t="inlineStr">
        <is>
          <t>2026-03</t>
        </is>
      </c>
      <c r="D149" s="10" t="inlineStr">
        <is>
          <t>Sudeste</t>
        </is>
      </c>
      <c r="E149" s="10" t="inlineStr">
        <is>
          <t>Beatriz Costa</t>
        </is>
      </c>
      <c r="F149" s="10" t="inlineStr">
        <is>
          <t>Móveis</t>
        </is>
      </c>
      <c r="G149" s="10" t="inlineStr">
        <is>
          <t>Estante de Livros</t>
        </is>
      </c>
      <c r="H149" s="16" t="n">
        <v>10</v>
      </c>
      <c r="I149" s="17" t="n">
        <v>500</v>
      </c>
      <c r="J149" s="17">
        <f>H149*I149</f>
        <v/>
      </c>
      <c r="K149" s="17">
        <f>H149*300</f>
        <v/>
      </c>
      <c r="L149" s="17">
        <f>J149-K149</f>
        <v/>
      </c>
    </row>
    <row r="150">
      <c r="A150" s="14" t="inlineStr">
        <is>
          <t>PED-1149</t>
        </is>
      </c>
      <c r="B150" s="15" t="n">
        <v>46225</v>
      </c>
      <c r="C150" s="14" t="inlineStr">
        <is>
          <t>2026-07</t>
        </is>
      </c>
      <c r="D150" s="10" t="inlineStr">
        <is>
          <t>Norte</t>
        </is>
      </c>
      <c r="E150" s="10" t="inlineStr">
        <is>
          <t>Carlos Souza</t>
        </is>
      </c>
      <c r="F150" s="10" t="inlineStr">
        <is>
          <t>Acessórios</t>
        </is>
      </c>
      <c r="G150" s="10" t="inlineStr">
        <is>
          <t>Suporte Monitor</t>
        </is>
      </c>
      <c r="H150" s="16" t="n">
        <v>8</v>
      </c>
      <c r="I150" s="17" t="n">
        <v>150</v>
      </c>
      <c r="J150" s="17">
        <f>H150*I150</f>
        <v/>
      </c>
      <c r="K150" s="17">
        <f>H150*80</f>
        <v/>
      </c>
      <c r="L150" s="17">
        <f>J150-K150</f>
        <v/>
      </c>
    </row>
    <row r="151">
      <c r="A151" s="14" t="inlineStr">
        <is>
          <t>PED-1150</t>
        </is>
      </c>
      <c r="B151" s="15" t="n">
        <v>46255</v>
      </c>
      <c r="C151" s="14" t="inlineStr">
        <is>
          <t>2026-08</t>
        </is>
      </c>
      <c r="D151" s="10" t="inlineStr">
        <is>
          <t>Centro-Oeste</t>
        </is>
      </c>
      <c r="E151" s="10" t="inlineStr">
        <is>
          <t>Mariana Oliveira</t>
        </is>
      </c>
      <c r="F151" s="10" t="inlineStr">
        <is>
          <t>Acessórios</t>
        </is>
      </c>
      <c r="G151" s="10" t="inlineStr">
        <is>
          <t>Suporte Monitor</t>
        </is>
      </c>
      <c r="H151" s="16" t="n">
        <v>5</v>
      </c>
      <c r="I151" s="17" t="n">
        <v>150</v>
      </c>
      <c r="J151" s="17">
        <f>H151*I151</f>
        <v/>
      </c>
      <c r="K151" s="17">
        <f>H151*80</f>
        <v/>
      </c>
      <c r="L151" s="17">
        <f>J151-K151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sheetData>
    <row r="1">
      <c r="A1" s="18" t="inlineStr">
        <is>
          <t>RESUMO POR VENDEDOR</t>
        </is>
      </c>
      <c r="D1" s="18" t="inlineStr">
        <is>
          <t>RESUMO POR CATEGORIA</t>
        </is>
      </c>
      <c r="G1" s="18" t="inlineStr">
        <is>
          <t>RESUMO POR REGIÃO</t>
        </is>
      </c>
    </row>
    <row r="2">
      <c r="A2" s="9" t="inlineStr">
        <is>
          <t>Vendedor</t>
        </is>
      </c>
      <c r="B2" s="9" t="inlineStr">
        <is>
          <t>Total Faturamento (R$)</t>
        </is>
      </c>
      <c r="D2" s="9" t="inlineStr">
        <is>
          <t>Categoria</t>
        </is>
      </c>
      <c r="E2" s="9" t="inlineStr">
        <is>
          <t>Total Faturamento (R$)</t>
        </is>
      </c>
      <c r="G2" s="9" t="inlineStr">
        <is>
          <t>Região</t>
        </is>
      </c>
      <c r="H2" s="9" t="inlineStr">
        <is>
          <t>Total Faturamento (R$)</t>
        </is>
      </c>
    </row>
    <row r="3">
      <c r="A3" t="inlineStr">
        <is>
          <t>Ana Silva</t>
        </is>
      </c>
      <c r="B3" s="19">
        <f>SUMIF('Base de Dados'!E:E, A3, 'Base de Dados'!J:J)</f>
        <v/>
      </c>
      <c r="D3" t="inlineStr">
        <is>
          <t>Eletrônicos</t>
        </is>
      </c>
      <c r="E3" s="19">
        <f>SUMIF('Base de Dados'!F:F, D3, 'Base de Dados'!J:J)</f>
        <v/>
      </c>
      <c r="G3" t="inlineStr">
        <is>
          <t>Sudeste</t>
        </is>
      </c>
      <c r="H3" s="19">
        <f>SUMIF('Base de Dados'!D:D, G3, 'Base de Dados'!J:J)</f>
        <v/>
      </c>
    </row>
    <row r="4">
      <c r="A4" t="inlineStr">
        <is>
          <t>Carlos Souza</t>
        </is>
      </c>
      <c r="B4" s="19">
        <f>SUMIF('Base de Dados'!E:E, A4, 'Base de Dados'!J:J)</f>
        <v/>
      </c>
      <c r="D4" t="inlineStr">
        <is>
          <t>Móveis</t>
        </is>
      </c>
      <c r="E4" s="19">
        <f>SUMIF('Base de Dados'!F:F, D4, 'Base de Dados'!J:J)</f>
        <v/>
      </c>
      <c r="G4" t="inlineStr">
        <is>
          <t>Sul</t>
        </is>
      </c>
      <c r="H4" s="19">
        <f>SUMIF('Base de Dados'!D:D, G4, 'Base de Dados'!J:J)</f>
        <v/>
      </c>
    </row>
    <row r="5">
      <c r="A5" t="inlineStr">
        <is>
          <t>Mariana Oliveira</t>
        </is>
      </c>
      <c r="B5" s="19">
        <f>SUMIF('Base de Dados'!E:E, A5, 'Base de Dados'!J:J)</f>
        <v/>
      </c>
      <c r="D5" t="inlineStr">
        <is>
          <t>Acessórios</t>
        </is>
      </c>
      <c r="E5" s="19">
        <f>SUMIF('Base de Dados'!F:F, D5, 'Base de Dados'!J:J)</f>
        <v/>
      </c>
      <c r="G5" t="inlineStr">
        <is>
          <t>Nordeste</t>
        </is>
      </c>
      <c r="H5" s="19">
        <f>SUMIF('Base de Dados'!D:D, G5, 'Base de Dados'!J:J)</f>
        <v/>
      </c>
    </row>
    <row r="6">
      <c r="A6" t="inlineStr">
        <is>
          <t>Lucas Ferreira</t>
        </is>
      </c>
      <c r="B6" s="19">
        <f>SUMIF('Base de Dados'!E:E, A6, 'Base de Dados'!J:J)</f>
        <v/>
      </c>
      <c r="G6" t="inlineStr">
        <is>
          <t>Centro-Oeste</t>
        </is>
      </c>
      <c r="H6" s="19">
        <f>SUMIF('Base de Dados'!D:D, G6, 'Base de Dados'!J:J)</f>
        <v/>
      </c>
    </row>
    <row r="7">
      <c r="A7" t="inlineStr">
        <is>
          <t>Beatriz Costa</t>
        </is>
      </c>
      <c r="B7" s="19">
        <f>SUMIF('Base de Dados'!E:E, A7, 'Base de Dados'!J:J)</f>
        <v/>
      </c>
      <c r="G7" t="inlineStr">
        <is>
          <t>Norte</t>
        </is>
      </c>
      <c r="H7" s="19">
        <f>SUMIF('Base de Dados'!D:D, G7, 'Base de Dados'!J:J)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2026-09-15T17:40:21Z</dcterms:created>
  <dcterms:modified xmlns:dcterms="http://purl.org/dc/terms/" xmlns:xsi="http://www.w3.org/2001/XMLSchema-instance" xsi:type="dcterms:W3CDTF">2026-09-15T17:40:21Z</dcterms:modified>
</cp:coreProperties>
</file>